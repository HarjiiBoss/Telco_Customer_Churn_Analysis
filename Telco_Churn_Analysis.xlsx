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tables/table20.xml" ContentType="application/vnd.openxmlformats-officedocument.spreadsheetml.table+xml"/>
  <Override PartName="/xl/queryTables/queryTable12.xml" ContentType="application/vnd.openxmlformats-officedocument.spreadsheetml.queryTable+xml"/>
  <Override PartName="/xl/tables/table21.xml" ContentType="application/vnd.openxmlformats-officedocument.spreadsheetml.table+xml"/>
  <Override PartName="/xl/queryTables/queryTable13.xml" ContentType="application/vnd.openxmlformats-officedocument.spreadsheetml.queryTable+xml"/>
  <Override PartName="/xl/tables/table22.xml" ContentType="application/vnd.openxmlformats-officedocument.spreadsheetml.table+xml"/>
  <Override PartName="/xl/queryTables/queryTable14.xml" ContentType="application/vnd.openxmlformats-officedocument.spreadsheetml.queryTable+xml"/>
  <Override PartName="/xl/tables/table23.xml" ContentType="application/vnd.openxmlformats-officedocument.spreadsheetml.table+xml"/>
  <Override PartName="/xl/queryTables/queryTable15.xml" ContentType="application/vnd.openxmlformats-officedocument.spreadsheetml.queryTable+xml"/>
  <Override PartName="/xl/tables/table24.xml" ContentType="application/vnd.openxmlformats-officedocument.spreadsheetml.table+xml"/>
  <Override PartName="/xl/queryTables/queryTable16.xml" ContentType="application/vnd.openxmlformats-officedocument.spreadsheetml.queryTable+xml"/>
  <Override PartName="/xl/tables/table25.xml" ContentType="application/vnd.openxmlformats-officedocument.spreadsheetml.table+xml"/>
  <Override PartName="/xl/queryTables/queryTable17.xml" ContentType="application/vnd.openxmlformats-officedocument.spreadsheetml.queryTable+xml"/>
  <Override PartName="/xl/drawings/drawing5.xml" ContentType="application/vnd.openxmlformats-officedocument.drawing+xml"/>
  <Override PartName="/xl/tables/table2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drawings/drawing12.xml" ContentType="application/vnd.openxmlformats-officedocument.drawingml.chartshapes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feeksalami/Telco_Customer_Churn_Analysis/"/>
    </mc:Choice>
  </mc:AlternateContent>
  <xr:revisionPtr revIDLastSave="0" documentId="13_ncr:1_{AEC24EA6-1DBB-AE45-A4F6-D22722C2DD57}" xr6:coauthVersionLast="47" xr6:coauthVersionMax="47" xr10:uidLastSave="{00000000-0000-0000-0000-000000000000}"/>
  <workbookProtection workbookAlgorithmName="SHA-512" workbookHashValue="MKno8Rk8H3j9R42XnMw+0cJYymN9JmN8CmEIujZH0aKW3574fpr/rsIVHwELVCPliSOdVnIkew4dErdPTIs9BQ==" workbookSaltValue="XMxiKTKcD+NALzw573fuOQ==" workbookSpinCount="100000" lockStructure="1"/>
  <bookViews>
    <workbookView xWindow="0" yWindow="600" windowWidth="25600" windowHeight="14500" firstSheet="20" activeTab="24" xr2:uid="{B76D0E22-31AB-FB41-B59B-52BD901C65CA}"/>
  </bookViews>
  <sheets>
    <sheet name="perfect_storm_churn" sheetId="15" r:id="rId1"/>
    <sheet name="cohort_lag_analysis" sheetId="8" r:id="rId2"/>
    <sheet name="multi_dimension_churn" sheetId="14" r:id="rId3"/>
    <sheet name="concentration_risk" sheetId="9" r:id="rId4"/>
    <sheet name="internet_service_concentration" sheetId="13" r:id="rId5"/>
    <sheet name="high_risk_customers" sheetId="12" r:id="rId6"/>
    <sheet name="Segment_Risk" sheetId="25" r:id="rId7"/>
    <sheet name="revenue_at_risk" sheetId="16" r:id="rId8"/>
    <sheet name="revenue_by_contract" sheetId="17" r:id="rId9"/>
    <sheet name="revenue_tiers" sheetId="18" r:id="rId10"/>
    <sheet name="cumulative_revenue_by_tenure" sheetId="10" r:id="rId11"/>
    <sheet name="estimated_ltv" sheetId="11" r:id="rId12"/>
    <sheet name="Revenue_Stability" sheetId="24" r:id="rId13"/>
    <sheet name="churn_by_contract" sheetId="4" r:id="rId14"/>
    <sheet name="churn_by_tenure_band" sheetId="7" r:id="rId15"/>
    <sheet name="churn_by_internet_service" sheetId="5" r:id="rId16"/>
    <sheet name="churn_by_payment_method" sheetId="6" r:id="rId17"/>
    <sheet name="avg_tenure_by_churn" sheetId="3" r:id="rId18"/>
    <sheet name="avg_charges_by_churn" sheetId="2" r:id="rId19"/>
    <sheet name="Churn_Analysis" sheetId="20" r:id="rId20"/>
    <sheet name="KPI_Framework" sheetId="19" r:id="rId21"/>
    <sheet name="Dashboard_Risk" sheetId="29" r:id="rId22"/>
    <sheet name="Dashboard_Revenue" sheetId="27" r:id="rId23"/>
    <sheet name="Dashboard_Customer" sheetId="26" r:id="rId24"/>
    <sheet name="Dashboard" sheetId="1" r:id="rId25"/>
  </sheets>
  <definedNames>
    <definedName name="ExternalData_1" localSheetId="18" hidden="1">avg_charges_by_churn!$A$1:$E$3</definedName>
    <definedName name="ExternalData_10" localSheetId="11" hidden="1">estimated_ltv!$A$1:$E$7</definedName>
    <definedName name="ExternalData_11" localSheetId="5" hidden="1">high_risk_customers!$A$1:$D$3</definedName>
    <definedName name="ExternalData_12" localSheetId="4" hidden="1">internet_service_concentration!$A$1:$G$4</definedName>
    <definedName name="ExternalData_13" localSheetId="2" hidden="1">multi_dimension_churn!$A$1:$F$11</definedName>
    <definedName name="ExternalData_14" localSheetId="0" hidden="1">perfect_storm_churn!$A$1:$G$4</definedName>
    <definedName name="ExternalData_15" localSheetId="7" hidden="1">revenue_at_risk!$A$1:$D$2</definedName>
    <definedName name="ExternalData_16" localSheetId="8" hidden="1">revenue_by_contract!$A$1:$E$4</definedName>
    <definedName name="ExternalData_17" localSheetId="9" hidden="1">revenue_tiers!$A$1:$E$4</definedName>
    <definedName name="ExternalData_2" localSheetId="17" hidden="1">avg_tenure_by_churn!$A$1:$D$3</definedName>
    <definedName name="ExternalData_3" localSheetId="13" hidden="1">churn_by_contract!$A$1:$D$4</definedName>
    <definedName name="ExternalData_4" localSheetId="15" hidden="1">churn_by_internet_service!$A$1:$D$4</definedName>
    <definedName name="ExternalData_5" localSheetId="16" hidden="1">churn_by_payment_method!$A$1:$D$5</definedName>
    <definedName name="ExternalData_6" localSheetId="14" hidden="1">churn_by_tenure_band!$A$1:$D$4</definedName>
    <definedName name="ExternalData_7" localSheetId="1" hidden="1">cohort_lag_analysis!$A$1:$D$6</definedName>
    <definedName name="ExternalData_8" localSheetId="3" hidden="1">concentration_risk!$A$1:$E$4</definedName>
    <definedName name="ExternalData_9" localSheetId="10" hidden="1">cumulative_revenue_by_tenure!$A$1:$D$74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4" l="1"/>
  <c r="I4" i="14"/>
  <c r="I5" i="14"/>
  <c r="I6" i="14"/>
  <c r="I7" i="14"/>
  <c r="I8" i="14"/>
  <c r="I9" i="14"/>
  <c r="I10" i="14"/>
  <c r="I11" i="14"/>
  <c r="I2" i="14"/>
  <c r="G2" i="25"/>
  <c r="G4" i="25"/>
  <c r="G3" i="25"/>
  <c r="C12" i="25"/>
  <c r="D12" i="25"/>
  <c r="E12" i="25"/>
  <c r="C13" i="25"/>
  <c r="D13" i="25"/>
  <c r="E13" i="25"/>
  <c r="D7" i="25"/>
  <c r="E7" i="25"/>
  <c r="F7" i="25"/>
  <c r="G7" i="25"/>
  <c r="H7" i="25"/>
  <c r="D8" i="25"/>
  <c r="E8" i="25"/>
  <c r="F8" i="25"/>
  <c r="G8" i="25"/>
  <c r="H8" i="25"/>
  <c r="D9" i="25"/>
  <c r="E9" i="25"/>
  <c r="F9" i="25"/>
  <c r="G9" i="25"/>
  <c r="H9" i="25"/>
  <c r="D2" i="25"/>
  <c r="E2" i="25"/>
  <c r="F2" i="25"/>
  <c r="D4" i="25"/>
  <c r="E4" i="25"/>
  <c r="F4" i="25"/>
  <c r="D3" i="25"/>
  <c r="E3" i="25"/>
  <c r="F3" i="25"/>
  <c r="D19" i="24"/>
  <c r="E19" i="24"/>
  <c r="F19" i="24"/>
  <c r="D20" i="24"/>
  <c r="E20" i="24"/>
  <c r="F20" i="24"/>
  <c r="D21" i="24"/>
  <c r="E21" i="24"/>
  <c r="F21" i="24"/>
  <c r="D22" i="24"/>
  <c r="E22" i="24"/>
  <c r="F22" i="24"/>
  <c r="D23" i="24"/>
  <c r="E23" i="24"/>
  <c r="F23" i="24"/>
  <c r="D24" i="24"/>
  <c r="E24" i="24"/>
  <c r="F24" i="24"/>
  <c r="F15" i="24"/>
  <c r="G15" i="24"/>
  <c r="F16" i="24"/>
  <c r="G16" i="24"/>
  <c r="G14" i="24"/>
  <c r="D15" i="24"/>
  <c r="E15" i="24"/>
  <c r="D16" i="24"/>
  <c r="E16" i="24"/>
  <c r="E14" i="24"/>
  <c r="F14" i="24"/>
  <c r="D14" i="24"/>
  <c r="F11" i="24"/>
  <c r="F10" i="24"/>
  <c r="E11" i="24"/>
  <c r="E10" i="24"/>
  <c r="F9" i="24"/>
  <c r="E9" i="24"/>
  <c r="D11" i="24"/>
  <c r="D10" i="24"/>
  <c r="D9" i="24"/>
  <c r="B6" i="24"/>
  <c r="B5" i="24"/>
  <c r="B4" i="24"/>
  <c r="B3" i="24"/>
  <c r="B2" i="24"/>
  <c r="G5" i="20"/>
  <c r="G6" i="20"/>
  <c r="G7" i="20"/>
  <c r="G8" i="20"/>
  <c r="G9" i="20"/>
  <c r="G10" i="20"/>
  <c r="G11" i="20"/>
  <c r="G12" i="20"/>
  <c r="G13" i="20"/>
  <c r="G14" i="20"/>
  <c r="G3" i="20"/>
  <c r="G4" i="20"/>
  <c r="G2" i="20"/>
  <c r="F12" i="20"/>
  <c r="F13" i="20"/>
  <c r="F14" i="20"/>
  <c r="F11" i="20"/>
  <c r="F9" i="20"/>
  <c r="F10" i="20"/>
  <c r="F8" i="20"/>
  <c r="F6" i="20"/>
  <c r="F7" i="20"/>
  <c r="F5" i="20"/>
  <c r="F3" i="20"/>
  <c r="F4" i="20"/>
  <c r="F2" i="20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DB25E-A514-794A-A91D-2F22FDB422E1}" keepAlive="1" name="Query - avg_charges_by_churn" description="Connection to the 'avg_charges_by_churn' query in the workbook." type="5" refreshedVersion="8" background="1" saveData="1">
    <dbPr connection="Provider=Microsoft.Mashup.OleDb.1;Data Source=$Workbook$;Location=avg_charges_by_churn;Extended Properties=&quot;&quot;" command="SELECT * FROM [avg_charges_by_churn]"/>
  </connection>
  <connection id="2" xr16:uid="{25D2464D-4BD1-E84F-B3AC-8F7FCCB45FB1}" keepAlive="1" name="Query - avg_tenure_by_churn" description="Connection to the 'avg_tenure_by_churn' query in the workbook." type="5" refreshedVersion="8" background="1" saveData="1">
    <dbPr connection="Provider=Microsoft.Mashup.OleDb.1;Data Source=$Workbook$;Location=avg_tenure_by_churn;Extended Properties=&quot;&quot;" command="SELECT * FROM [avg_tenure_by_churn]"/>
  </connection>
  <connection id="3" xr16:uid="{5BC694FF-08A9-0943-9231-A0515AB3F0AE}" keepAlive="1" name="Query - churn_by_contract" description="Connection to the 'churn_by_contract' query in the workbook." type="5" refreshedVersion="8" background="1" saveData="1">
    <dbPr connection="Provider=Microsoft.Mashup.OleDb.1;Data Source=$Workbook$;Location=churn_by_contract;Extended Properties=&quot;&quot;" command="SELECT * FROM [churn_by_contract]"/>
  </connection>
  <connection id="4" xr16:uid="{30D08F3A-53BC-654C-95DE-1499EF877D48}" keepAlive="1" name="Query - churn_by_internet_service" description="Connection to the 'churn_by_internet_service' query in the workbook." type="5" refreshedVersion="8" background="1" saveData="1">
    <dbPr connection="Provider=Microsoft.Mashup.OleDb.1;Data Source=$Workbook$;Location=churn_by_internet_service;Extended Properties=&quot;&quot;" command="SELECT * FROM [churn_by_internet_service]"/>
  </connection>
  <connection id="5" xr16:uid="{E909C0CA-FD39-B647-AF41-D74132442B18}" keepAlive="1" name="Query - churn_by_payment_method" description="Connection to the 'churn_by_payment_method' query in the workbook." type="5" refreshedVersion="8" background="1" saveData="1">
    <dbPr connection="Provider=Microsoft.Mashup.OleDb.1;Data Source=$Workbook$;Location=churn_by_payment_method;Extended Properties=&quot;&quot;" command="SELECT * FROM [churn_by_payment_method]"/>
  </connection>
  <connection id="6" xr16:uid="{E0CEB2EE-C396-224B-B8C6-DCFB61C7BD32}" keepAlive="1" name="Query - churn_by_tenure_band" description="Connection to the 'churn_by_tenure_band' query in the workbook." type="5" refreshedVersion="8" background="1" saveData="1">
    <dbPr connection="Provider=Microsoft.Mashup.OleDb.1;Data Source=$Workbook$;Location=churn_by_tenure_band;Extended Properties=&quot;&quot;" command="SELECT * FROM [churn_by_tenure_band]"/>
  </connection>
  <connection id="7" xr16:uid="{1BC25047-F21A-BD40-8991-E5C576BE135E}" keepAlive="1" name="Query - cohort_lag_analysis" description="Connection to the 'cohort_lag_analysis' query in the workbook." type="5" refreshedVersion="8" background="1" saveData="1">
    <dbPr connection="Provider=Microsoft.Mashup.OleDb.1;Data Source=$Workbook$;Location=cohort_lag_analysis;Extended Properties=&quot;&quot;" command="SELECT * FROM [cohort_lag_analysis]"/>
  </connection>
  <connection id="8" xr16:uid="{EA791E13-F72B-0248-B135-75156D99942C}" keepAlive="1" name="Query - concentration_risk" description="Connection to the 'concentration_risk' query in the workbook." type="5" refreshedVersion="8" background="1" saveData="1">
    <dbPr connection="Provider=Microsoft.Mashup.OleDb.1;Data Source=$Workbook$;Location=concentration_risk;Extended Properties=&quot;&quot;" command="SELECT * FROM [concentration_risk]"/>
  </connection>
  <connection id="9" xr16:uid="{13038B61-24D5-6646-81AE-DC86E1167F81}" keepAlive="1" name="Query - cumulative_revenue_by_tenure" description="Connection to the 'cumulative_revenue_by_tenure' query in the workbook." type="5" refreshedVersion="8" background="1" saveData="1">
    <dbPr connection="Provider=Microsoft.Mashup.OleDb.1;Data Source=$Workbook$;Location=cumulative_revenue_by_tenure;Extended Properties=&quot;&quot;" command="SELECT * FROM [cumulative_revenue_by_tenure]"/>
  </connection>
  <connection id="10" xr16:uid="{D13D1167-337E-3C4D-A670-DF316896767D}" keepAlive="1" name="Query - estimated_ltv" description="Connection to the 'estimated_ltv' query in the workbook." type="5" refreshedVersion="8" background="1" saveData="1">
    <dbPr connection="Provider=Microsoft.Mashup.OleDb.1;Data Source=$Workbook$;Location=estimated_ltv;Extended Properties=&quot;&quot;" command="SELECT * FROM [estimated_ltv]"/>
  </connection>
  <connection id="11" xr16:uid="{5A6B2941-347A-5B49-8F94-42D75F5308C5}" keepAlive="1" name="Query - high_risk_customers" description="Connection to the 'high_risk_customers' query in the workbook." type="5" refreshedVersion="8" background="1" saveData="1">
    <dbPr connection="Provider=Microsoft.Mashup.OleDb.1;Data Source=$Workbook$;Location=high_risk_customers;Extended Properties=&quot;&quot;" command="SELECT * FROM [high_risk_customers]"/>
  </connection>
  <connection id="12" xr16:uid="{C1685F6C-FA5D-804E-9012-10B6438EC59C}" keepAlive="1" name="Query - internet_service_concentration" description="Connection to the 'internet_service_concentration' query in the workbook." type="5" refreshedVersion="8" background="1" saveData="1">
    <dbPr connection="Provider=Microsoft.Mashup.OleDb.1;Data Source=$Workbook$;Location=internet_service_concentration;Extended Properties=&quot;&quot;" command="SELECT * FROM [internet_service_concentration]"/>
  </connection>
  <connection id="13" xr16:uid="{2E883DF6-79CA-7240-8950-DED686F93DB8}" keepAlive="1" name="Query - multi_dimension_churn" description="Connection to the 'multi_dimension_churn' query in the workbook." type="5" refreshedVersion="8" background="1" saveData="1">
    <dbPr connection="Provider=Microsoft.Mashup.OleDb.1;Data Source=$Workbook$;Location=multi_dimension_churn;Extended Properties=&quot;&quot;" command="SELECT * FROM [multi_dimension_churn]"/>
  </connection>
  <connection id="14" xr16:uid="{259ACDF3-191B-1742-A97D-602F1D3B0C48}" keepAlive="1" name="Query - perfect_storm_churn" description="Connection to the 'perfect_storm_churn' query in the workbook." type="5" refreshedVersion="8" background="1" saveData="1">
    <dbPr connection="Provider=Microsoft.Mashup.OleDb.1;Data Source=$Workbook$;Location=perfect_storm_churn;Extended Properties=&quot;&quot;" command="SELECT * FROM [perfect_storm_churn]"/>
  </connection>
  <connection id="15" xr16:uid="{C6A3988A-8F97-4543-96C0-8C8CBBAD854C}" keepAlive="1" name="Query - revenue_at_risk" description="Connection to the 'revenue_at_risk' query in the workbook." type="5" refreshedVersion="8" background="1" saveData="1">
    <dbPr connection="Provider=Microsoft.Mashup.OleDb.1;Data Source=$Workbook$;Location=revenue_at_risk;Extended Properties=&quot;&quot;" command="SELECT * FROM [revenue_at_risk]"/>
  </connection>
  <connection id="16" xr16:uid="{72704C62-8AD5-5743-B725-C7005DD9C8DC}" keepAlive="1" name="Query - revenue_by_contract" description="Connection to the 'revenue_by_contract' query in the workbook." type="5" refreshedVersion="8" background="1" saveData="1">
    <dbPr connection="Provider=Microsoft.Mashup.OleDb.1;Data Source=$Workbook$;Location=revenue_by_contract;Extended Properties=&quot;&quot;" command="SELECT * FROM [revenue_by_contract]"/>
  </connection>
  <connection id="17" xr16:uid="{8206B888-A4F1-D949-AE2F-D0B0BAAD3A8D}" keepAlive="1" name="Query - revenue_tiers" description="Connection to the 'revenue_tiers' query in the workbook." type="5" refreshedVersion="8" background="1" saveData="1">
    <dbPr connection="Provider=Microsoft.Mashup.OleDb.1;Data Source=$Workbook$;Location=revenue_tiers;Extended Properties=&quot;&quot;" command="SELECT * FROM [revenue_tiers]"/>
  </connection>
</connections>
</file>

<file path=xl/sharedStrings.xml><?xml version="1.0" encoding="utf-8"?>
<sst xmlns="http://schemas.openxmlformats.org/spreadsheetml/2006/main" count="401" uniqueCount="112">
  <si>
    <t>No</t>
  </si>
  <si>
    <t>Yes</t>
  </si>
  <si>
    <t>Contract</t>
  </si>
  <si>
    <t>Month-to-month</t>
  </si>
  <si>
    <t>One year</t>
  </si>
  <si>
    <t>Two year</t>
  </si>
  <si>
    <t>Fiber optic</t>
  </si>
  <si>
    <t>DSL</t>
  </si>
  <si>
    <t>Electronic check</t>
  </si>
  <si>
    <t>Mailed check</t>
  </si>
  <si>
    <t>Bank transfer (automatic)</t>
  </si>
  <si>
    <t>Credit card (automatic)</t>
  </si>
  <si>
    <t>0-12 months</t>
  </si>
  <si>
    <t>13-36 months</t>
  </si>
  <si>
    <t>37+ months</t>
  </si>
  <si>
    <t>1. 0-12 months</t>
  </si>
  <si>
    <t>NULL</t>
  </si>
  <si>
    <t>2. 13-24 months</t>
  </si>
  <si>
    <t>47.44</t>
  </si>
  <si>
    <t>-18.73</t>
  </si>
  <si>
    <t>3. 25-36 months</t>
  </si>
  <si>
    <t>28.71</t>
  </si>
  <si>
    <t>-7.08</t>
  </si>
  <si>
    <t>4. 37-48 months</t>
  </si>
  <si>
    <t>21.63</t>
  </si>
  <si>
    <t>-2.60</t>
  </si>
  <si>
    <t>5. 49+ months</t>
  </si>
  <si>
    <t>19.03</t>
  </si>
  <si>
    <t>-9.52</t>
  </si>
  <si>
    <t>Standard</t>
  </si>
  <si>
    <t>High risk</t>
  </si>
  <si>
    <t>High value</t>
  </si>
  <si>
    <t>Mid value</t>
  </si>
  <si>
    <t>Low value</t>
  </si>
  <si>
    <t>Churn Rate (%)</t>
  </si>
  <si>
    <t>Total Customers</t>
  </si>
  <si>
    <t>Churned</t>
  </si>
  <si>
    <t>Monthly Revenue Lost (£)</t>
  </si>
  <si>
    <t>Revenue at Risk (%)</t>
  </si>
  <si>
    <t>Tenure Band</t>
  </si>
  <si>
    <t>Internet Service</t>
  </si>
  <si>
    <t>Payment Method</t>
  </si>
  <si>
    <t>Churn Status</t>
  </si>
  <si>
    <t>Avg Tenure (Months)</t>
  </si>
  <si>
    <t>Min Tenure</t>
  </si>
  <si>
    <t>Max Tenure</t>
  </si>
  <si>
    <t>Avg Monthly Charge (£)</t>
  </si>
  <si>
    <t>Min Charge (£)</t>
  </si>
  <si>
    <t>Max Charge (£)</t>
  </si>
  <si>
    <t>Std Dev</t>
  </si>
  <si>
    <t>Monthly Revenue Retained (£)</t>
  </si>
  <si>
    <t>Total Monthly Charges (£)</t>
  </si>
  <si>
    <t>Total Revenue (£)</t>
  </si>
  <si>
    <t>Avg Revenue per Customer (£)</t>
  </si>
  <si>
    <t>Revenue Tier</t>
  </si>
  <si>
    <t>Monthly Revenue (£)</t>
  </si>
  <si>
    <t>Cumulative Revenue (£)</t>
  </si>
  <si>
    <t>Tenure (Months)</t>
  </si>
  <si>
    <t>Revenue Share (%)</t>
  </si>
  <si>
    <t>Customer Share (%)</t>
  </si>
  <si>
    <t>Risk Segment</t>
  </si>
  <si>
    <t>Estimated LTV (£)</t>
  </si>
  <si>
    <t>Change (pp)</t>
  </si>
  <si>
    <t>Previous Cohort Churn Rate (%)</t>
  </si>
  <si>
    <t>Tenure Cohort</t>
  </si>
  <si>
    <t>Framework: Customer · Revenue · Risk</t>
  </si>
  <si>
    <t>Pillar</t>
  </si>
  <si>
    <t>KPI</t>
  </si>
  <si>
    <t>Value</t>
  </si>
  <si>
    <t>Source</t>
  </si>
  <si>
    <t>Customer</t>
  </si>
  <si>
    <t>Revenue</t>
  </si>
  <si>
    <t>Risk</t>
  </si>
  <si>
    <t>Overall Churn Rate</t>
  </si>
  <si>
    <t>Phase 1A (01a_exploration.sql — Query 1)</t>
  </si>
  <si>
    <t>Month-to-Month Churn Rate</t>
  </si>
  <si>
    <t>tbl_ChurnByContract</t>
  </si>
  <si>
    <t>Early Tenure Churn Rate (0-12 months)</t>
  </si>
  <si>
    <t>tbl_ChurnByTenureBand</t>
  </si>
  <si>
    <t>Avg Tenure — Churned Customers</t>
  </si>
  <si>
    <t>tbl_AvgTenureByChurn</t>
  </si>
  <si>
    <t>Monthly Revenue Lost to Churn (£)</t>
  </si>
  <si>
    <t>tbl_RevenueAtRisk</t>
  </si>
  <si>
    <t>Revenue Lost to Churn (% of monthly charges)</t>
  </si>
  <si>
    <t>Avg Monthly Charge — Churned (£)</t>
  </si>
  <si>
    <t>tbl_AvgChargesByChurn</t>
  </si>
  <si>
    <t>Month-to-Month Revenue Concentration</t>
  </si>
  <si>
    <t>tbl_ConcentrationRisk</t>
  </si>
  <si>
    <t>Fiber Optic Revenue Concentration</t>
  </si>
  <si>
    <t>High-Risk Customer Count</t>
  </si>
  <si>
    <t>tbl_HighRiskCustomers</t>
  </si>
  <si>
    <t>Status</t>
  </si>
  <si>
    <t>🔴</t>
  </si>
  <si>
    <t>🟡</t>
  </si>
  <si>
    <t>Legend:</t>
  </si>
  <si>
    <t>🔴 High Risk</t>
  </si>
  <si>
    <t>🟡 Moderate Risk</t>
  </si>
  <si>
    <t>🟢 Stable</t>
  </si>
  <si>
    <t>tbl_InternetServiceConcentration</t>
  </si>
  <si>
    <t>Segment Type</t>
  </si>
  <si>
    <t>Segment</t>
  </si>
  <si>
    <t>Annualised Revenue Loss (£)</t>
  </si>
  <si>
    <t>Risk Flag</t>
  </si>
  <si>
    <t>No internet</t>
  </si>
  <si>
    <t>High Risk</t>
  </si>
  <si>
    <t>Revenue Lost to Churn Summary</t>
  </si>
  <si>
    <t>Annualised Revenue Lost to Churn (£)</t>
  </si>
  <si>
    <t>Project 7 — KPI Framework</t>
  </si>
  <si>
    <t>Retained</t>
  </si>
  <si>
    <t>Lost</t>
  </si>
  <si>
    <t>Segment Descriptions</t>
  </si>
  <si>
    <t>Revenue Lost to Churn (% of monthly charges)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</si>
</sst>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£-809]#,##0"/>
    <numFmt numFmtId="166" formatCode="[$£-809]#,##0.00"/>
  </numFmts>
  <fonts count="1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262626"/>
      <name val="Aptos Narrow"/>
      <family val="2"/>
      <scheme val="minor"/>
    </font>
    <font>
      <b/>
      <sz val="12"/>
      <color rgb="FFFFFFFF"/>
      <name val="Aptos Narrow"/>
      <scheme val="minor"/>
    </font>
    <font>
      <sz val="12"/>
      <color theme="0"/>
      <name val="Aptos Narrow"/>
      <family val="2"/>
      <scheme val="minor"/>
    </font>
    <font>
      <sz val="13"/>
      <color theme="1"/>
      <name val="Helvetica Neue"/>
      <family val="2"/>
    </font>
    <font>
      <sz val="12"/>
      <color theme="1"/>
      <name val=".AppleSystemUIFontMonospaced"/>
    </font>
    <font>
      <sz val="12"/>
      <color theme="1"/>
      <name val="Helvetica Neue"/>
      <family val="2"/>
    </font>
    <font>
      <b/>
      <sz val="12"/>
      <color rgb="FFC00000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C9A84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DF2D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0" fontId="1" fillId="0" borderId="0" xfId="0" applyFont="1"/>
    <xf numFmtId="10" fontId="0" fillId="0" borderId="0" xfId="0" applyNumberFormat="1"/>
    <xf numFmtId="0" fontId="4" fillId="2" borderId="1" xfId="0" applyFont="1" applyFill="1" applyBorder="1"/>
    <xf numFmtId="0" fontId="5" fillId="3" borderId="1" xfId="0" applyFont="1" applyFill="1" applyBorder="1"/>
    <xf numFmtId="10" fontId="5" fillId="3" borderId="1" xfId="0" applyNumberFormat="1" applyFont="1" applyFill="1" applyBorder="1"/>
    <xf numFmtId="0" fontId="5" fillId="4" borderId="1" xfId="0" applyFont="1" applyFill="1" applyBorder="1"/>
    <xf numFmtId="10" fontId="5" fillId="4" borderId="1" xfId="0" applyNumberFormat="1" applyFont="1" applyFill="1" applyBorder="1"/>
    <xf numFmtId="0" fontId="2" fillId="5" borderId="1" xfId="0" applyFont="1" applyFill="1" applyBorder="1"/>
    <xf numFmtId="10" fontId="2" fillId="5" borderId="1" xfId="0" applyNumberFormat="1" applyFont="1" applyFill="1" applyBorder="1"/>
    <xf numFmtId="3" fontId="2" fillId="5" borderId="1" xfId="0" applyNumberFormat="1" applyFont="1" applyFill="1" applyBorder="1"/>
    <xf numFmtId="164" fontId="5" fillId="3" borderId="1" xfId="0" applyNumberFormat="1" applyFont="1" applyFill="1" applyBorder="1"/>
    <xf numFmtId="0" fontId="4" fillId="2" borderId="2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3" fillId="0" borderId="0" xfId="0" applyFont="1"/>
    <xf numFmtId="3" fontId="8" fillId="0" borderId="0" xfId="0" applyNumberFormat="1" applyFont="1"/>
    <xf numFmtId="3" fontId="9" fillId="0" borderId="0" xfId="0" applyNumberFormat="1" applyFont="1"/>
    <xf numFmtId="2" fontId="9" fillId="0" borderId="0" xfId="0" applyNumberFormat="1" applyFont="1"/>
    <xf numFmtId="0" fontId="0" fillId="7" borderId="0" xfId="0" applyFill="1"/>
    <xf numFmtId="0" fontId="5" fillId="7" borderId="0" xfId="0" applyFont="1" applyFill="1"/>
    <xf numFmtId="0" fontId="0" fillId="8" borderId="0" xfId="0" applyFill="1"/>
    <xf numFmtId="0" fontId="5" fillId="8" borderId="0" xfId="0" applyFont="1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10" fillId="0" borderId="0" xfId="0" applyFont="1"/>
    <xf numFmtId="4" fontId="10" fillId="0" borderId="0" xfId="0" applyNumberFormat="1" applyFont="1"/>
    <xf numFmtId="2" fontId="10" fillId="0" borderId="0" xfId="0" applyNumberFormat="1" applyFont="1"/>
    <xf numFmtId="4" fontId="11" fillId="0" borderId="0" xfId="0" applyNumberFormat="1" applyFont="1"/>
    <xf numFmtId="0" fontId="4" fillId="2" borderId="0" xfId="0" applyFont="1" applyFill="1"/>
    <xf numFmtId="0" fontId="0" fillId="3" borderId="0" xfId="0" applyFill="1"/>
    <xf numFmtId="4" fontId="0" fillId="3" borderId="0" xfId="0" applyNumberFormat="1" applyFill="1"/>
    <xf numFmtId="4" fontId="0" fillId="7" borderId="0" xfId="0" applyNumberFormat="1" applyFill="1"/>
    <xf numFmtId="0" fontId="5" fillId="3" borderId="0" xfId="0" applyFont="1" applyFill="1"/>
    <xf numFmtId="4" fontId="5" fillId="3" borderId="0" xfId="0" applyNumberFormat="1" applyFont="1" applyFill="1"/>
    <xf numFmtId="4" fontId="5" fillId="7" borderId="0" xfId="0" applyNumberFormat="1" applyFont="1" applyFill="1"/>
    <xf numFmtId="4" fontId="5" fillId="0" borderId="0" xfId="0" applyNumberFormat="1" applyFont="1"/>
    <xf numFmtId="3" fontId="10" fillId="7" borderId="0" xfId="0" applyNumberFormat="1" applyFont="1" applyFill="1"/>
    <xf numFmtId="4" fontId="10" fillId="7" borderId="0" xfId="0" applyNumberFormat="1" applyFont="1" applyFill="1"/>
    <xf numFmtId="3" fontId="10" fillId="8" borderId="0" xfId="0" applyNumberFormat="1" applyFont="1" applyFill="1"/>
    <xf numFmtId="4" fontId="10" fillId="8" borderId="0" xfId="0" applyNumberFormat="1" applyFont="1" applyFill="1"/>
    <xf numFmtId="3" fontId="10" fillId="3" borderId="0" xfId="0" applyNumberFormat="1" applyFont="1" applyFill="1"/>
    <xf numFmtId="4" fontId="10" fillId="3" borderId="0" xfId="0" applyNumberFormat="1" applyFont="1" applyFill="1"/>
    <xf numFmtId="2" fontId="0" fillId="7" borderId="0" xfId="0" applyNumberFormat="1" applyFill="1"/>
    <xf numFmtId="2" fontId="0" fillId="3" borderId="0" xfId="0" applyNumberFormat="1" applyFill="1"/>
    <xf numFmtId="3" fontId="5" fillId="7" borderId="0" xfId="0" applyNumberFormat="1" applyFont="1" applyFill="1"/>
    <xf numFmtId="3" fontId="5" fillId="3" borderId="0" xfId="0" applyNumberFormat="1" applyFont="1" applyFill="1"/>
    <xf numFmtId="3" fontId="5" fillId="0" borderId="0" xfId="0" applyNumberFormat="1" applyFont="1"/>
    <xf numFmtId="2" fontId="5" fillId="7" borderId="0" xfId="0" applyNumberFormat="1" applyFont="1" applyFill="1"/>
    <xf numFmtId="3" fontId="5" fillId="8" borderId="0" xfId="0" applyNumberFormat="1" applyFont="1" applyFill="1"/>
    <xf numFmtId="4" fontId="5" fillId="8" borderId="0" xfId="0" applyNumberFormat="1" applyFont="1" applyFill="1"/>
    <xf numFmtId="2" fontId="5" fillId="8" borderId="0" xfId="0" applyNumberFormat="1" applyFont="1" applyFill="1"/>
    <xf numFmtId="2" fontId="5" fillId="3" borderId="0" xfId="0" applyNumberFormat="1" applyFont="1" applyFill="1"/>
    <xf numFmtId="2" fontId="5" fillId="0" borderId="0" xfId="0" applyNumberFormat="1" applyFont="1"/>
    <xf numFmtId="165" fontId="5" fillId="4" borderId="1" xfId="0" applyNumberFormat="1" applyFont="1" applyFill="1" applyBorder="1"/>
    <xf numFmtId="166" fontId="5" fillId="4" borderId="1" xfId="0" applyNumberFormat="1" applyFont="1" applyFill="1" applyBorder="1"/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79"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.AppleSystemUIFontMonospaced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.AppleSystemUIFontMonospaced"/>
        <scheme val="none"/>
      </font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2" formatCode="0.0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4" formatCode="#,##0.00"/>
      <fill>
        <patternFill patternType="solid">
          <fgColor indexed="64"/>
          <bgColor rgb="FFDAE3F3"/>
        </patternFill>
      </fill>
    </dxf>
    <dxf>
      <numFmt numFmtId="4" formatCode="#,##0.00"/>
      <fill>
        <patternFill patternType="solid">
          <fgColor indexed="64"/>
          <bgColor rgb="FFDAE3F3"/>
        </patternFill>
      </fill>
    </dxf>
    <dxf>
      <numFmt numFmtId="2" formatCode="0.00"/>
      <fill>
        <patternFill patternType="solid">
          <fgColor indexed="64"/>
          <bgColor rgb="FFDAE3F3"/>
        </patternFill>
      </fill>
    </dxf>
    <dxf>
      <fill>
        <patternFill patternType="solid">
          <fgColor indexed="64"/>
          <bgColor rgb="FFDAE3F3"/>
        </patternFill>
      </fill>
    </dxf>
    <dxf>
      <fill>
        <patternFill patternType="solid">
          <fgColor indexed="64"/>
          <bgColor rgb="FFDAE3F3"/>
        </patternFill>
      </fill>
    </dxf>
    <dxf>
      <fill>
        <patternFill patternType="solid">
          <fgColor indexed="64"/>
          <bgColor rgb="FFDAE3F3"/>
        </patternFill>
      </fill>
    </dxf>
    <dxf>
      <fill>
        <patternFill patternType="solid">
          <fgColor indexed="64"/>
          <bgColor rgb="FFDAE3F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1F386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1F386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1F3864"/>
        </patternFill>
      </fill>
    </dxf>
    <dxf>
      <numFmt numFmtId="4" formatCode="#,##0.00"/>
    </dxf>
    <dxf>
      <numFmt numFmtId="4" formatCode="#,##0.00"/>
    </dxf>
    <dxf>
      <numFmt numFmtId="2" formatCode="0.00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0" formatCode="General"/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1F386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1F3864"/>
        </patternFill>
      </fill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1F3864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2" formatCode="0.00"/>
    </dxf>
    <dxf>
      <numFmt numFmtId="3" formatCode="#,##0"/>
    </dxf>
    <dxf>
      <numFmt numFmtId="4" formatCode="#,##0.00"/>
    </dxf>
    <dxf>
      <numFmt numFmtId="3" formatCode="#,##0"/>
    </dxf>
    <dxf>
      <numFmt numFmtId="0" formatCode="General"/>
    </dxf>
    <dxf>
      <numFmt numFmtId="4" formatCode="#,##0.0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262626"/>
      <color rgb="FF1F3864"/>
      <color rgb="FFA9B4C2"/>
      <color rgb="FFC00000"/>
      <color rgb="FFC9A84C"/>
      <color rgb="FFD9D9D9"/>
      <color rgb="FFDAE3F3"/>
      <color rgb="FFFDF2D0"/>
      <color rgb="FFFADBD8"/>
      <color rgb="FF1F2D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multi_dimension_churn!$I$2:$I$6</c:f>
              <c:strCache>
                <c:ptCount val="5"/>
                <c:pt idx="0">
                  <c:v>Month-to-month | 0-12 months | High value</c:v>
                </c:pt>
                <c:pt idx="1">
                  <c:v>Month-to-month | 13-36 months | High value</c:v>
                </c:pt>
                <c:pt idx="2">
                  <c:v>Month-to-month | 0-12 months | Mid value</c:v>
                </c:pt>
                <c:pt idx="3">
                  <c:v>Month-to-month | 37+ months | High value</c:v>
                </c:pt>
                <c:pt idx="4">
                  <c:v>Month-to-month | 0-12 months | Low value</c:v>
                </c:pt>
              </c:strCache>
            </c:strRef>
          </c:cat>
          <c:val>
            <c:numRef>
              <c:f>multi_dimension_churn!$J$2:$J$6</c:f>
              <c:numCache>
                <c:formatCode>General</c:formatCode>
                <c:ptCount val="5"/>
                <c:pt idx="0">
                  <c:v>69.19</c:v>
                </c:pt>
                <c:pt idx="1">
                  <c:v>46.48</c:v>
                </c:pt>
                <c:pt idx="2">
                  <c:v>44.98</c:v>
                </c:pt>
                <c:pt idx="3">
                  <c:v>33.81</c:v>
                </c:pt>
                <c:pt idx="4">
                  <c:v>28.99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F-3C4F-BD9C-21DB0E79F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8099392"/>
        <c:axId val="1538101632"/>
      </c:barChart>
      <c:catAx>
        <c:axId val="1538099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38101632"/>
        <c:crosses val="autoZero"/>
        <c:auto val="1"/>
        <c:lblAlgn val="ctr"/>
        <c:lblOffset val="100"/>
        <c:noMultiLvlLbl val="0"/>
      </c:catAx>
      <c:valAx>
        <c:axId val="153810163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53809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>
                <a:solidFill>
                  <a:srgbClr val="1F3864"/>
                </a:solidFill>
                <a:effectLst/>
              </a:rPr>
              <a:t>Contract Type — Customer &amp; Revenue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Customer Share</c:v>
          </c:tx>
          <c:spPr>
            <a:solidFill>
              <a:srgbClr val="C9A84C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Segment_Risk!$C$2:$C$4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Segment_Risk!$E$2:$E$4</c:f>
              <c:numCache>
                <c:formatCode>General</c:formatCode>
                <c:ptCount val="3"/>
                <c:pt idx="0">
                  <c:v>55.02</c:v>
                </c:pt>
                <c:pt idx="1">
                  <c:v>20.91</c:v>
                </c:pt>
                <c:pt idx="2">
                  <c:v>24.07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E-1D4F-8959-5888F9B53BD6}"/>
            </c:ext>
          </c:extLst>
        </c:ser>
        <c:ser>
          <c:idx val="1"/>
          <c:order val="1"/>
          <c:tx>
            <c:v>Revenue Share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Segment_Risk!$C$2:$C$4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Segment_Risk!$G$2:$G$4</c:f>
              <c:numCache>
                <c:formatCode>0.00</c:formatCode>
                <c:ptCount val="3"/>
                <c:pt idx="0">
                  <c:v>56.41</c:v>
                </c:pt>
                <c:pt idx="1">
                  <c:v>21.01</c:v>
                </c:pt>
                <c:pt idx="2">
                  <c:v>22.58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E-1D4F-8959-5888F9B53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4449344"/>
        <c:axId val="1354451584"/>
      </c:barChart>
      <c:catAx>
        <c:axId val="1354449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54451584"/>
        <c:crosses val="autoZero"/>
        <c:auto val="1"/>
        <c:lblAlgn val="ctr"/>
        <c:lblOffset val="100"/>
        <c:noMultiLvlLbl val="0"/>
      </c:catAx>
      <c:valAx>
        <c:axId val="135445158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544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>
                <a:solidFill>
                  <a:srgbClr val="1F3864"/>
                </a:solidFill>
                <a:effectLst/>
              </a:rPr>
              <a:t>Internet Service — Revenue Concentration vs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 Share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Segment_Risk!$C$7:$C$9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 internet</c:v>
                </c:pt>
              </c:strCache>
            </c:strRef>
          </c:cat>
          <c:val>
            <c:numRef>
              <c:f>Segment_Risk!$G$7:$G$9</c:f>
              <c:numCache>
                <c:formatCode>General</c:formatCode>
                <c:ptCount val="3"/>
                <c:pt idx="0">
                  <c:v>62.11</c:v>
                </c:pt>
                <c:pt idx="1">
                  <c:v>30.84</c:v>
                </c:pt>
                <c:pt idx="2">
                  <c:v>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F-9A40-8389-FE95C64C4048}"/>
            </c:ext>
          </c:extLst>
        </c:ser>
        <c:ser>
          <c:idx val="1"/>
          <c:order val="1"/>
          <c:tx>
            <c:v>Churn Rate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Segment_Risk!$C$7:$C$9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 internet</c:v>
                </c:pt>
              </c:strCache>
            </c:strRef>
          </c:cat>
          <c:val>
            <c:numRef>
              <c:f>Segment_Risk!$H$7:$H$9</c:f>
              <c:numCache>
                <c:formatCode>0.00</c:formatCode>
                <c:ptCount val="3"/>
                <c:pt idx="0">
                  <c:v>41.89</c:v>
                </c:pt>
                <c:pt idx="1">
                  <c:v>18.96</c:v>
                </c:pt>
                <c:pt idx="2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F-9A40-8389-FE95C64C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4456960"/>
        <c:axId val="1075227584"/>
      </c:barChart>
      <c:catAx>
        <c:axId val="1354456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5227584"/>
        <c:crosses val="autoZero"/>
        <c:auto val="1"/>
        <c:lblAlgn val="ctr"/>
        <c:lblOffset val="100"/>
        <c:noMultiLvlLbl val="0"/>
      </c:catAx>
      <c:valAx>
        <c:axId val="107522758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5445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>
                <a:solidFill>
                  <a:srgbClr val="1F3864"/>
                </a:solidFill>
                <a:effectLst/>
              </a:rPr>
              <a:t>High Risk vs Standard Customers —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AA-BB47-BA5B-31EA5FC94131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A-BB47-BA5B-31EA5FC9413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Segment_Risk!$B$12:$B$13</c:f>
              <c:strCache>
                <c:ptCount val="2"/>
                <c:pt idx="0">
                  <c:v>Standard</c:v>
                </c:pt>
                <c:pt idx="1">
                  <c:v>High Risk</c:v>
                </c:pt>
              </c:strCache>
            </c:strRef>
          </c:cat>
          <c:val>
            <c:numRef>
              <c:f>Segment_Risk!$E$12:$E$13</c:f>
              <c:numCache>
                <c:formatCode>General</c:formatCode>
                <c:ptCount val="2"/>
                <c:pt idx="0">
                  <c:v>20.92</c:v>
                </c:pt>
                <c:pt idx="1">
                  <c:v>69.53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A-BB47-BA5B-31EA5FC94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3711808"/>
        <c:axId val="1052660544"/>
      </c:barChart>
      <c:catAx>
        <c:axId val="105371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2660544"/>
        <c:crosses val="autoZero"/>
        <c:auto val="1"/>
        <c:lblAlgn val="ctr"/>
        <c:lblOffset val="100"/>
        <c:noMultiLvlLbl val="0"/>
      </c:catAx>
      <c:valAx>
        <c:axId val="1052660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371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 b="0" i="0" u="none" strike="noStrike" kern="1200" spc="0" baseline="0">
                <a:solidFill>
                  <a:srgbClr val="1F3864"/>
                </a:solidFill>
                <a:effectLst/>
              </a:rPr>
              <a:t>Monthly Revenue Lost vs Retained</a:t>
            </a:r>
            <a:endParaRPr lang="en-GB" sz="1200" b="0" i="0" u="none" strike="noStrike" kern="1200" spc="0" baseline="0">
              <a:solidFill>
                <a:srgbClr val="1F386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89B-264F-8752-1FA6671BEEB9}"/>
              </c:ext>
            </c:extLst>
          </c:dPt>
          <c:dPt>
            <c:idx val="1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9B-264F-8752-1FA6671BEEB9}"/>
              </c:ext>
            </c:extLst>
          </c:dPt>
          <c:dLbls>
            <c:dLbl>
              <c:idx val="0"/>
              <c:layout>
                <c:manualLayout>
                  <c:x val="7.7777777777777779E-2"/>
                  <c:y val="-0.1342592592592593"/>
                </c:manualLayout>
              </c:layout>
              <c:tx>
                <c:rich>
                  <a:bodyPr/>
                  <a:lstStyle/>
                  <a:p>
                    <a:fld id="{806AA14E-A629-5042-872B-34363547EDD5}" type="PERCENTAGE">
                      <a:rPr lang="en-US">
                        <a:solidFill>
                          <a:srgbClr val="FF0000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89B-264F-8752-1FA6671BEEB9}"/>
                </c:ext>
              </c:extLst>
            </c:dLbl>
            <c:dLbl>
              <c:idx val="1"/>
              <c:layout>
                <c:manualLayout>
                  <c:x val="-0.10555555555555558"/>
                  <c:y val="8.7962962962962882E-2"/>
                </c:manualLayout>
              </c:layout>
              <c:tx>
                <c:rich>
                  <a:bodyPr/>
                  <a:lstStyle/>
                  <a:p>
                    <a:fld id="{63F452D4-CBA0-2A40-89B8-5349210D7376}" type="PERCENTAGE">
                      <a:rPr lang="en-US">
                        <a:solidFill>
                          <a:srgbClr val="1F3864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89B-264F-8752-1FA6671BEE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Revenue_Stability!$A$2:$A$3</c:f>
              <c:strCache>
                <c:ptCount val="2"/>
                <c:pt idx="0">
                  <c:v>Monthly Revenue Lost (£)</c:v>
                </c:pt>
                <c:pt idx="1">
                  <c:v>Monthly Revenue Retained (£)</c:v>
                </c:pt>
              </c:strCache>
            </c:strRef>
          </c:cat>
          <c:val>
            <c:numRef>
              <c:f>Revenue_Stability!$B$2:$B$3</c:f>
              <c:numCache>
                <c:formatCode>#,##0.00</c:formatCode>
                <c:ptCount val="2"/>
                <c:pt idx="0">
                  <c:v>139130.85</c:v>
                </c:pt>
                <c:pt idx="1">
                  <c:v>316985.75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B-264F-8752-1FA6671BE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 b="0" i="0" u="none" strike="noStrike" baseline="0">
                <a:solidFill>
                  <a:srgbClr val="1F3864"/>
                </a:solidFill>
                <a:effectLst/>
              </a:rPr>
              <a:t>Avg Revenue per Customer by Contract Type</a:t>
            </a:r>
            <a:endParaRPr lang="en-GB" sz="1200">
              <a:solidFill>
                <a:srgbClr val="1F386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9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1D-2C4F-8861-53E65059A016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41D-2C4F-8861-53E65059A016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1D-2C4F-8861-53E65059A016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Revenue_Stability!$C$9:$C$11</c:f>
              <c:strCache>
                <c:ptCount val="3"/>
                <c:pt idx="0">
                  <c:v>Two year</c:v>
                </c:pt>
                <c:pt idx="1">
                  <c:v>One year</c:v>
                </c:pt>
                <c:pt idx="2">
                  <c:v>Month-to-month</c:v>
                </c:pt>
              </c:strCache>
            </c:strRef>
          </c:cat>
          <c:val>
            <c:numRef>
              <c:f>Revenue_Stability!$E$9:$E$11</c:f>
              <c:numCache>
                <c:formatCode>#,##0.00</c:formatCode>
                <c:ptCount val="3"/>
                <c:pt idx="0">
                  <c:v>3728.93</c:v>
                </c:pt>
                <c:pt idx="1">
                  <c:v>3034.68</c:v>
                </c:pt>
                <c:pt idx="2">
                  <c:v>1369.25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D-2C4F-8861-53E65059A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3358464"/>
        <c:axId val="1073360256"/>
      </c:barChart>
      <c:catAx>
        <c:axId val="107335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3360256"/>
        <c:crosses val="autoZero"/>
        <c:auto val="1"/>
        <c:lblAlgn val="ctr"/>
        <c:lblOffset val="100"/>
        <c:noMultiLvlLbl val="0"/>
      </c:catAx>
      <c:valAx>
        <c:axId val="1073360256"/>
        <c:scaling>
          <c:orientation val="minMax"/>
        </c:scaling>
        <c:delete val="1"/>
        <c:axPos val="t"/>
        <c:numFmt formatCode="#,##0.00" sourceLinked="1"/>
        <c:majorTickMark val="none"/>
        <c:minorTickMark val="none"/>
        <c:tickLblPos val="nextTo"/>
        <c:crossAx val="10733584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 b="0" i="0" u="none" strike="noStrike" baseline="0">
                <a:solidFill>
                  <a:srgbClr val="1F3864"/>
                </a:solidFill>
                <a:effectLst/>
              </a:rPr>
              <a:t>Estimated LTV — Churned vs Retained by Contract</a:t>
            </a:r>
            <a:endParaRPr lang="en-GB" sz="1200">
              <a:solidFill>
                <a:srgbClr val="1F386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D3-564E-99F1-2A4916831B5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CD3-564E-99F1-2A4916831B50}"/>
              </c:ext>
            </c:extLst>
          </c:dPt>
          <c:dPt>
            <c:idx val="2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CD3-564E-99F1-2A4916831B50}"/>
              </c:ext>
            </c:extLst>
          </c:dPt>
          <c:dPt>
            <c:idx val="3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CD3-564E-99F1-2A4916831B50}"/>
              </c:ext>
            </c:extLst>
          </c:dPt>
          <c:dPt>
            <c:idx val="4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CD3-564E-99F1-2A4916831B5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D3-564E-99F1-2A4916831B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Revenue_Stability!$B$19:$B$24</c:f>
              <c:strCache>
                <c:ptCount val="6"/>
                <c:pt idx="0">
                  <c:v>Two year</c:v>
                </c:pt>
                <c:pt idx="1">
                  <c:v>One year</c:v>
                </c:pt>
                <c:pt idx="2">
                  <c:v>Two year</c:v>
                </c:pt>
                <c:pt idx="3">
                  <c:v>One year</c:v>
                </c:pt>
                <c:pt idx="4">
                  <c:v>Month-to-month</c:v>
                </c:pt>
                <c:pt idx="5">
                  <c:v>Month-to-month</c:v>
                </c:pt>
              </c:strCache>
            </c:strRef>
          </c:cat>
          <c:val>
            <c:numRef>
              <c:f>Revenue_Stability!$F$19:$F$24</c:f>
              <c:numCache>
                <c:formatCode>#,##0.00</c:formatCode>
                <c:ptCount val="6"/>
                <c:pt idx="0">
                  <c:v>5316.9</c:v>
                </c:pt>
                <c:pt idx="1">
                  <c:v>3824.22</c:v>
                </c:pt>
                <c:pt idx="2">
                  <c:v>3396.88</c:v>
                </c:pt>
                <c:pt idx="3">
                  <c:v>2604.9699999999998</c:v>
                </c:pt>
                <c:pt idx="4">
                  <c:v>1292.76</c:v>
                </c:pt>
                <c:pt idx="5">
                  <c:v>1023.51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3-564E-99F1-2A4916831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8199168"/>
        <c:axId val="1078200960"/>
      </c:barChart>
      <c:catAx>
        <c:axId val="1078199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8200960"/>
        <c:crosses val="autoZero"/>
        <c:auto val="1"/>
        <c:lblAlgn val="ctr"/>
        <c:lblOffset val="100"/>
        <c:noMultiLvlLbl val="0"/>
      </c:catAx>
      <c:valAx>
        <c:axId val="1078200960"/>
        <c:scaling>
          <c:orientation val="minMax"/>
        </c:scaling>
        <c:delete val="1"/>
        <c:axPos val="t"/>
        <c:numFmt formatCode="#,##0.00" sourceLinked="1"/>
        <c:majorTickMark val="none"/>
        <c:minorTickMark val="none"/>
        <c:tickLblPos val="nextTo"/>
        <c:crossAx val="10781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 b="0" i="0" u="none" strike="noStrike" baseline="0">
                <a:solidFill>
                  <a:srgbClr val="1F3864"/>
                </a:solidFill>
                <a:effectLst/>
              </a:rPr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9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80C-FF4E-BAD0-E1A663C1F7A6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0C-FF4E-BAD0-E1A663C1F7A6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80C-FF4E-BAD0-E1A663C1F7A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Churn_Analysis!$C$2:$C$4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Churn_Analysis!$F$2:$F$4</c:f>
              <c:numCache>
                <c:formatCode>0.00</c:formatCode>
                <c:ptCount val="3"/>
                <c:pt idx="0">
                  <c:v>42.71</c:v>
                </c:pt>
                <c:pt idx="1">
                  <c:v>11.27</c:v>
                </c:pt>
                <c:pt idx="2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C-FF4E-BAD0-E1A663C1F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0103744"/>
        <c:axId val="1050108224"/>
      </c:barChart>
      <c:catAx>
        <c:axId val="10501037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0108224"/>
        <c:crosses val="autoZero"/>
        <c:auto val="1"/>
        <c:lblAlgn val="ctr"/>
        <c:lblOffset val="100"/>
        <c:noMultiLvlLbl val="0"/>
      </c:catAx>
      <c:valAx>
        <c:axId val="1050108224"/>
        <c:scaling>
          <c:orientation val="minMax"/>
        </c:scaling>
        <c:delete val="1"/>
        <c:axPos val="t"/>
        <c:numFmt formatCode="0.0" sourceLinked="0"/>
        <c:majorTickMark val="none"/>
        <c:minorTickMark val="none"/>
        <c:tickLblPos val="nextTo"/>
        <c:crossAx val="1050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 b="0" i="0" u="none" strike="noStrike" baseline="0">
                <a:solidFill>
                  <a:srgbClr val="1F3864"/>
                </a:solidFill>
                <a:effectLst/>
              </a:rPr>
              <a:t>Churn Rate by Tenure Band</a:t>
            </a:r>
            <a:endParaRPr lang="en-GB" sz="1200">
              <a:solidFill>
                <a:srgbClr val="1F386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1-0F47-A3AE-FCFF9F2DD26A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1-0F47-A3AE-FCFF9F2DD26A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21-0F47-A3AE-FCFF9F2DD26A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Churn_Analysis!$C$5:$C$7</c:f>
              <c:strCache>
                <c:ptCount val="3"/>
                <c:pt idx="0">
                  <c:v>0-12 months</c:v>
                </c:pt>
                <c:pt idx="1">
                  <c:v>13-36 months</c:v>
                </c:pt>
                <c:pt idx="2">
                  <c:v>37+ months</c:v>
                </c:pt>
              </c:strCache>
            </c:strRef>
          </c:cat>
          <c:val>
            <c:numRef>
              <c:f>Churn_Analysis!$F$5:$F$7</c:f>
              <c:numCache>
                <c:formatCode>0.00</c:formatCode>
                <c:ptCount val="3"/>
                <c:pt idx="0">
                  <c:v>47.44</c:v>
                </c:pt>
                <c:pt idx="1">
                  <c:v>25.54</c:v>
                </c:pt>
                <c:pt idx="2">
                  <c:v>11.93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1-0F47-A3AE-FCFF9F2DD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5580992"/>
        <c:axId val="1065580096"/>
      </c:barChart>
      <c:catAx>
        <c:axId val="1065580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65580096"/>
        <c:crosses val="autoZero"/>
        <c:auto val="1"/>
        <c:lblAlgn val="ctr"/>
        <c:lblOffset val="100"/>
        <c:noMultiLvlLbl val="0"/>
      </c:catAx>
      <c:valAx>
        <c:axId val="1065580096"/>
        <c:scaling>
          <c:orientation val="minMax"/>
        </c:scaling>
        <c:delete val="1"/>
        <c:axPos val="t"/>
        <c:numFmt formatCode="0.0" sourceLinked="0"/>
        <c:majorTickMark val="none"/>
        <c:minorTickMark val="none"/>
        <c:tickLblPos val="nextTo"/>
        <c:crossAx val="10655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 b="0" i="0" u="none" strike="noStrike" baseline="0">
                <a:effectLst/>
              </a:rPr>
              <a:t>Churn Rate by Internet Service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9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73-2C48-9CDB-F11D67BA076B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73-2C48-9CDB-F11D67BA076B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73-2C48-9CDB-F11D67BA076B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Churn_Analysis!$C$8:$C$10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 internet</c:v>
                </c:pt>
              </c:strCache>
            </c:strRef>
          </c:cat>
          <c:val>
            <c:numRef>
              <c:f>Churn_Analysis!$F$8:$F$10</c:f>
              <c:numCache>
                <c:formatCode>0.00</c:formatCode>
                <c:ptCount val="3"/>
                <c:pt idx="0">
                  <c:v>41.89</c:v>
                </c:pt>
                <c:pt idx="1">
                  <c:v>18.96</c:v>
                </c:pt>
                <c:pt idx="2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3-2C48-9CDB-F11D67BA0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8708608"/>
        <c:axId val="958696960"/>
      </c:barChart>
      <c:catAx>
        <c:axId val="958708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8696960"/>
        <c:crosses val="autoZero"/>
        <c:auto val="1"/>
        <c:lblAlgn val="ctr"/>
        <c:lblOffset val="100"/>
        <c:noMultiLvlLbl val="0"/>
      </c:catAx>
      <c:valAx>
        <c:axId val="958696960"/>
        <c:scaling>
          <c:orientation val="minMax"/>
        </c:scaling>
        <c:delete val="1"/>
        <c:axPos val="t"/>
        <c:numFmt formatCode="0.0" sourceLinked="0"/>
        <c:majorTickMark val="none"/>
        <c:minorTickMark val="none"/>
        <c:tickLblPos val="nextTo"/>
        <c:crossAx val="95870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200" b="0" i="0" u="none" strike="noStrike" baseline="0">
                <a:solidFill>
                  <a:srgbClr val="1F3864"/>
                </a:solidFill>
                <a:effectLst/>
              </a:rPr>
              <a:t>Churn Rate by Payment Method</a:t>
            </a:r>
            <a:endParaRPr lang="en-GB" sz="1200">
              <a:solidFill>
                <a:srgbClr val="1F386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97-8945-BD19-0BC15338026C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97-8945-BD19-0BC15338026C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97-8945-BD19-0BC15338026C}"/>
              </c:ext>
            </c:extLst>
          </c:dPt>
          <c:dPt>
            <c:idx val="3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A97-8945-BD19-0BC15338026C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Churn_Analysis!$C$11:$C$14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Churn_Analysis!$F$11:$F$14</c:f>
              <c:numCache>
                <c:formatCode>0.00</c:formatCode>
                <c:ptCount val="4"/>
                <c:pt idx="0">
                  <c:v>45.29</c:v>
                </c:pt>
                <c:pt idx="1">
                  <c:v>19.11</c:v>
                </c:pt>
                <c:pt idx="2">
                  <c:v>16.71</c:v>
                </c:pt>
                <c:pt idx="3">
                  <c:v>15.24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7-8945-BD19-0BC153380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4094848"/>
        <c:axId val="1074098432"/>
      </c:barChart>
      <c:catAx>
        <c:axId val="1074094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4098432"/>
        <c:crosses val="autoZero"/>
        <c:auto val="1"/>
        <c:lblAlgn val="ctr"/>
        <c:lblOffset val="100"/>
        <c:noMultiLvlLbl val="0"/>
      </c:catAx>
      <c:valAx>
        <c:axId val="1074098432"/>
        <c:scaling>
          <c:orientation val="minMax"/>
        </c:scaling>
        <c:delete val="1"/>
        <c:axPos val="t"/>
        <c:numFmt formatCode="0.0" sourceLinked="0"/>
        <c:majorTickMark val="none"/>
        <c:minorTickMark val="none"/>
        <c:tickLblPos val="nextTo"/>
        <c:crossAx val="107409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Customer Share</c:v>
          </c:tx>
          <c:spPr>
            <a:solidFill>
              <a:srgbClr val="C9A84C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Segment_Risk!$C$2:$C$4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Segment_Risk!$E$2:$E$4</c:f>
              <c:numCache>
                <c:formatCode>General</c:formatCode>
                <c:ptCount val="3"/>
                <c:pt idx="0">
                  <c:v>55.02</c:v>
                </c:pt>
                <c:pt idx="1">
                  <c:v>20.91</c:v>
                </c:pt>
                <c:pt idx="2">
                  <c:v>24.07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8-A74A-8ABE-5EA9A37647CD}"/>
            </c:ext>
          </c:extLst>
        </c:ser>
        <c:ser>
          <c:idx val="1"/>
          <c:order val="1"/>
          <c:tx>
            <c:v>Revenue Share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Segment_Risk!$C$2:$C$4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Segment_Risk!$G$2:$G$4</c:f>
              <c:numCache>
                <c:formatCode>0.00</c:formatCode>
                <c:ptCount val="3"/>
                <c:pt idx="0">
                  <c:v>56.41</c:v>
                </c:pt>
                <c:pt idx="1">
                  <c:v>21.01</c:v>
                </c:pt>
                <c:pt idx="2">
                  <c:v>22.58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8-A74A-8ABE-5EA9A3764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54449344"/>
        <c:axId val="1354451584"/>
      </c:barChart>
      <c:catAx>
        <c:axId val="1354449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354451584"/>
        <c:crosses val="autoZero"/>
        <c:auto val="1"/>
        <c:lblAlgn val="ctr"/>
        <c:lblOffset val="100"/>
        <c:noMultiLvlLbl val="0"/>
      </c:catAx>
      <c:valAx>
        <c:axId val="135445158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544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Revenue Share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Segment_Risk!$C$7:$C$9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 internet</c:v>
                </c:pt>
              </c:strCache>
            </c:strRef>
          </c:cat>
          <c:val>
            <c:numRef>
              <c:f>Segment_Risk!$G$7:$G$9</c:f>
              <c:numCache>
                <c:formatCode>General</c:formatCode>
                <c:ptCount val="3"/>
                <c:pt idx="0">
                  <c:v>62.11</c:v>
                </c:pt>
                <c:pt idx="1">
                  <c:v>30.84</c:v>
                </c:pt>
                <c:pt idx="2">
                  <c:v>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3-ED4D-9B47-7EEC1DC5F80B}"/>
            </c:ext>
          </c:extLst>
        </c:ser>
        <c:ser>
          <c:idx val="1"/>
          <c:order val="1"/>
          <c:tx>
            <c:v>Churn Rate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Segment_Risk!$C$7:$C$9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 internet</c:v>
                </c:pt>
              </c:strCache>
            </c:strRef>
          </c:cat>
          <c:val>
            <c:numRef>
              <c:f>Segment_Risk!$H$7:$H$9</c:f>
              <c:numCache>
                <c:formatCode>0.00</c:formatCode>
                <c:ptCount val="3"/>
                <c:pt idx="0">
                  <c:v>41.89</c:v>
                </c:pt>
                <c:pt idx="1">
                  <c:v>18.96</c:v>
                </c:pt>
                <c:pt idx="2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3-ED4D-9B47-7EEC1DC5F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54456960"/>
        <c:axId val="1075227584"/>
      </c:barChart>
      <c:catAx>
        <c:axId val="1354456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075227584"/>
        <c:crosses val="autoZero"/>
        <c:auto val="1"/>
        <c:lblAlgn val="ctr"/>
        <c:lblOffset val="100"/>
        <c:noMultiLvlLbl val="0"/>
      </c:catAx>
      <c:valAx>
        <c:axId val="107522758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5445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B0-A349-AEBA-013ACE23C8D6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B0-A349-AEBA-013ACE23C8D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Segment_Risk!$B$12:$B$13</c:f>
              <c:strCache>
                <c:ptCount val="2"/>
                <c:pt idx="0">
                  <c:v>Standard</c:v>
                </c:pt>
                <c:pt idx="1">
                  <c:v>High Risk</c:v>
                </c:pt>
              </c:strCache>
            </c:strRef>
          </c:cat>
          <c:val>
            <c:numRef>
              <c:f>Segment_Risk!$E$12:$E$13</c:f>
              <c:numCache>
                <c:formatCode>General</c:formatCode>
                <c:ptCount val="2"/>
                <c:pt idx="0">
                  <c:v>20.92</c:v>
                </c:pt>
                <c:pt idx="1">
                  <c:v>69.53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B0-A349-AEBA-013ACE23C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053711808"/>
        <c:axId val="1052660544"/>
      </c:barChart>
      <c:catAx>
        <c:axId val="105371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052660544"/>
        <c:crosses val="autoZero"/>
        <c:auto val="1"/>
        <c:lblAlgn val="ctr"/>
        <c:lblOffset val="100"/>
        <c:noMultiLvlLbl val="0"/>
      </c:catAx>
      <c:valAx>
        <c:axId val="1052660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371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6252187228462"/>
          <c:y val="0.1421873944620318"/>
          <c:w val="0.44625158120613806"/>
          <c:h val="0.77187521799645886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DE-4047-ABEC-1753B2370516}"/>
              </c:ext>
            </c:extLst>
          </c:dPt>
          <c:dPt>
            <c:idx val="1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DE-4047-ABEC-1753B2370516}"/>
              </c:ext>
            </c:extLst>
          </c:dPt>
          <c:dLbls>
            <c:dLbl>
              <c:idx val="0"/>
              <c:layout>
                <c:manualLayout>
                  <c:x val="0.10537575944840019"/>
                  <c:y val="-0.12187501499446543"/>
                </c:manualLayout>
              </c:layout>
              <c:tx>
                <c:rich>
                  <a:bodyPr/>
                  <a:lstStyle/>
                  <a:p>
                    <a:fld id="{457F0151-A69B-CB4D-B358-2B244BACEB69}" type="PERCENTAGE">
                      <a:rPr lang="en-US" sz="1000">
                        <a:solidFill>
                          <a:srgbClr val="C00000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CDE-4047-ABEC-1753B2370516}"/>
                </c:ext>
              </c:extLst>
            </c:dLbl>
            <c:dLbl>
              <c:idx val="1"/>
              <c:layout>
                <c:manualLayout>
                  <c:x val="-0.10358056787464852"/>
                  <c:y val="8.4375010380783586E-2"/>
                </c:manualLayout>
              </c:layout>
              <c:tx>
                <c:rich>
                  <a:bodyPr/>
                  <a:lstStyle/>
                  <a:p>
                    <a:fld id="{C0711461-02F6-3745-BCF8-6558446E5060}" type="PERCENTAGE">
                      <a:rPr lang="en-US" sz="1000">
                        <a:solidFill>
                          <a:srgbClr val="1F3864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CDE-4047-ABEC-1753B2370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Revenue_Stability!$A$2:$A$3</c:f>
              <c:strCache>
                <c:ptCount val="2"/>
                <c:pt idx="0">
                  <c:v>Monthly Revenue Lost (£)</c:v>
                </c:pt>
                <c:pt idx="1">
                  <c:v>Monthly Revenue Retained (£)</c:v>
                </c:pt>
              </c:strCache>
            </c:strRef>
          </c:cat>
          <c:val>
            <c:numRef>
              <c:f>Revenue_Stability!$B$2:$B$3</c:f>
              <c:numCache>
                <c:formatCode>#,##0.00</c:formatCode>
                <c:ptCount val="2"/>
                <c:pt idx="0">
                  <c:v>139130.85</c:v>
                </c:pt>
                <c:pt idx="1">
                  <c:v>316985.75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DE-4047-ABEC-1753B2370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9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C6-E74D-A7F1-190D2625CD33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C6-E74D-A7F1-190D2625CD33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C6-E74D-A7F1-190D2625CD33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Revenue_Stability!$C$9:$C$11</c:f>
              <c:strCache>
                <c:ptCount val="3"/>
                <c:pt idx="0">
                  <c:v>Two year</c:v>
                </c:pt>
                <c:pt idx="1">
                  <c:v>One year</c:v>
                </c:pt>
                <c:pt idx="2">
                  <c:v>Month-to-month</c:v>
                </c:pt>
              </c:strCache>
            </c:strRef>
          </c:cat>
          <c:val>
            <c:numRef>
              <c:f>Revenue_Stability!$E$9:$E$11</c:f>
              <c:numCache>
                <c:formatCode>#,##0.00</c:formatCode>
                <c:ptCount val="3"/>
                <c:pt idx="0">
                  <c:v>3728.93</c:v>
                </c:pt>
                <c:pt idx="1">
                  <c:v>3034.68</c:v>
                </c:pt>
                <c:pt idx="2">
                  <c:v>1369.25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C6-E74D-A7F1-190D2625C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73358464"/>
        <c:axId val="1073360256"/>
      </c:barChart>
      <c:catAx>
        <c:axId val="107335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073360256"/>
        <c:crosses val="autoZero"/>
        <c:auto val="1"/>
        <c:lblAlgn val="ctr"/>
        <c:lblOffset val="100"/>
        <c:noMultiLvlLbl val="0"/>
      </c:catAx>
      <c:valAx>
        <c:axId val="1073360256"/>
        <c:scaling>
          <c:orientation val="minMax"/>
        </c:scaling>
        <c:delete val="1"/>
        <c:axPos val="t"/>
        <c:numFmt formatCode="#,##0.00" sourceLinked="1"/>
        <c:majorTickMark val="none"/>
        <c:minorTickMark val="none"/>
        <c:tickLblPos val="nextTo"/>
        <c:crossAx val="10733584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31-3743-9867-9649D7F690E6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31-3743-9867-9649D7F690E6}"/>
              </c:ext>
            </c:extLst>
          </c:dPt>
          <c:dPt>
            <c:idx val="2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31-3743-9867-9649D7F690E6}"/>
              </c:ext>
            </c:extLst>
          </c:dPt>
          <c:dPt>
            <c:idx val="3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31-3743-9867-9649D7F690E6}"/>
              </c:ext>
            </c:extLst>
          </c:dPt>
          <c:dPt>
            <c:idx val="4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31-3743-9867-9649D7F690E6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231-3743-9867-9649D7F690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Revenue_Stability!$B$19:$B$24</c:f>
              <c:strCache>
                <c:ptCount val="6"/>
                <c:pt idx="0">
                  <c:v>Two year</c:v>
                </c:pt>
                <c:pt idx="1">
                  <c:v>One year</c:v>
                </c:pt>
                <c:pt idx="2">
                  <c:v>Two year</c:v>
                </c:pt>
                <c:pt idx="3">
                  <c:v>One year</c:v>
                </c:pt>
                <c:pt idx="4">
                  <c:v>Month-to-month</c:v>
                </c:pt>
                <c:pt idx="5">
                  <c:v>Month-to-month</c:v>
                </c:pt>
              </c:strCache>
            </c:strRef>
          </c:cat>
          <c:val>
            <c:numRef>
              <c:f>Revenue_Stability!$F$19:$F$24</c:f>
              <c:numCache>
                <c:formatCode>#,##0.00</c:formatCode>
                <c:ptCount val="6"/>
                <c:pt idx="0">
                  <c:v>5316.9</c:v>
                </c:pt>
                <c:pt idx="1">
                  <c:v>3824.22</c:v>
                </c:pt>
                <c:pt idx="2">
                  <c:v>3396.88</c:v>
                </c:pt>
                <c:pt idx="3">
                  <c:v>2604.9699999999998</c:v>
                </c:pt>
                <c:pt idx="4">
                  <c:v>1292.76</c:v>
                </c:pt>
                <c:pt idx="5">
                  <c:v>1023.51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31-3743-9867-9649D7F69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078199168"/>
        <c:axId val="1078200960"/>
      </c:barChart>
      <c:catAx>
        <c:axId val="1078199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078200960"/>
        <c:crosses val="autoZero"/>
        <c:auto val="1"/>
        <c:lblAlgn val="ctr"/>
        <c:lblOffset val="100"/>
        <c:noMultiLvlLbl val="0"/>
      </c:catAx>
      <c:valAx>
        <c:axId val="1078200960"/>
        <c:scaling>
          <c:orientation val="minMax"/>
        </c:scaling>
        <c:delete val="1"/>
        <c:axPos val="t"/>
        <c:numFmt formatCode="#,##0.00" sourceLinked="1"/>
        <c:majorTickMark val="none"/>
        <c:minorTickMark val="none"/>
        <c:tickLblPos val="nextTo"/>
        <c:crossAx val="10781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9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DB-FB4E-AA69-EDEAA7C382B3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DB-FB4E-AA69-EDEAA7C382B3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DB-FB4E-AA69-EDEAA7C382B3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Churn_Analysis!$C$2:$C$4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Churn_Analysis!$F$2:$F$4</c:f>
              <c:numCache>
                <c:formatCode>0.00</c:formatCode>
                <c:ptCount val="3"/>
                <c:pt idx="0">
                  <c:v>42.71</c:v>
                </c:pt>
                <c:pt idx="1">
                  <c:v>11.27</c:v>
                </c:pt>
                <c:pt idx="2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DB-FB4E-AA69-EDEAA7C38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50103744"/>
        <c:axId val="1050108224"/>
      </c:barChart>
      <c:catAx>
        <c:axId val="10501037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050108224"/>
        <c:crosses val="autoZero"/>
        <c:auto val="1"/>
        <c:lblAlgn val="ctr"/>
        <c:lblOffset val="100"/>
        <c:noMultiLvlLbl val="0"/>
      </c:catAx>
      <c:valAx>
        <c:axId val="1050108224"/>
        <c:scaling>
          <c:orientation val="minMax"/>
        </c:scaling>
        <c:delete val="1"/>
        <c:axPos val="t"/>
        <c:numFmt formatCode="0.0" sourceLinked="0"/>
        <c:majorTickMark val="none"/>
        <c:minorTickMark val="none"/>
        <c:tickLblPos val="nextTo"/>
        <c:crossAx val="1050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5B-7445-981E-87ED718B7A48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5B-7445-981E-87ED718B7A48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5B-7445-981E-87ED718B7A48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Churn_Analysis!$C$5:$C$7</c:f>
              <c:strCache>
                <c:ptCount val="3"/>
                <c:pt idx="0">
                  <c:v>0-12 months</c:v>
                </c:pt>
                <c:pt idx="1">
                  <c:v>13-36 months</c:v>
                </c:pt>
                <c:pt idx="2">
                  <c:v>37+ months</c:v>
                </c:pt>
              </c:strCache>
            </c:strRef>
          </c:cat>
          <c:val>
            <c:numRef>
              <c:f>Churn_Analysis!$F$5:$F$7</c:f>
              <c:numCache>
                <c:formatCode>0.00</c:formatCode>
                <c:ptCount val="3"/>
                <c:pt idx="0">
                  <c:v>47.44</c:v>
                </c:pt>
                <c:pt idx="1">
                  <c:v>25.54</c:v>
                </c:pt>
                <c:pt idx="2">
                  <c:v>11.93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5B-7445-981E-87ED718B7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65580992"/>
        <c:axId val="1065580096"/>
      </c:barChart>
      <c:catAx>
        <c:axId val="1065580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065580096"/>
        <c:crosses val="autoZero"/>
        <c:auto val="1"/>
        <c:lblAlgn val="ctr"/>
        <c:lblOffset val="100"/>
        <c:noMultiLvlLbl val="0"/>
      </c:catAx>
      <c:valAx>
        <c:axId val="1065580096"/>
        <c:scaling>
          <c:orientation val="minMax"/>
        </c:scaling>
        <c:delete val="1"/>
        <c:axPos val="t"/>
        <c:numFmt formatCode="0.0" sourceLinked="0"/>
        <c:majorTickMark val="none"/>
        <c:minorTickMark val="none"/>
        <c:tickLblPos val="nextTo"/>
        <c:crossAx val="10655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9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0D-074C-B735-90DFDA94FAF9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0D-074C-B735-90DFDA94FAF9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0D-074C-B735-90DFDA94FAF9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Churn_Analysis!$C$8:$C$10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 internet</c:v>
                </c:pt>
              </c:strCache>
            </c:strRef>
          </c:cat>
          <c:val>
            <c:numRef>
              <c:f>Churn_Analysis!$F$8:$F$10</c:f>
              <c:numCache>
                <c:formatCode>0.00</c:formatCode>
                <c:ptCount val="3"/>
                <c:pt idx="0">
                  <c:v>41.89</c:v>
                </c:pt>
                <c:pt idx="1">
                  <c:v>18.96</c:v>
                </c:pt>
                <c:pt idx="2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0D-074C-B735-90DFDA94F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58708608"/>
        <c:axId val="958696960"/>
      </c:barChart>
      <c:catAx>
        <c:axId val="958708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958696960"/>
        <c:crosses val="autoZero"/>
        <c:auto val="1"/>
        <c:lblAlgn val="ctr"/>
        <c:lblOffset val="100"/>
        <c:noMultiLvlLbl val="0"/>
      </c:catAx>
      <c:valAx>
        <c:axId val="958696960"/>
        <c:scaling>
          <c:orientation val="minMax"/>
        </c:scaling>
        <c:delete val="1"/>
        <c:axPos val="t"/>
        <c:numFmt formatCode="0.0" sourceLinked="0"/>
        <c:majorTickMark val="none"/>
        <c:minorTickMark val="none"/>
        <c:tickLblPos val="nextTo"/>
        <c:crossAx val="95870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82-6148-B08D-AE70BEF5E4F2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82-6148-B08D-AE70BEF5E4F2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82-6148-B08D-AE70BEF5E4F2}"/>
              </c:ext>
            </c:extLst>
          </c:dPt>
          <c:dPt>
            <c:idx val="3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82-6148-B08D-AE70BEF5E4F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Churn_Analysis!$C$11:$C$14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Churn_Analysis!$F$11:$F$14</c:f>
              <c:numCache>
                <c:formatCode>0.00</c:formatCode>
                <c:ptCount val="4"/>
                <c:pt idx="0">
                  <c:v>45.29</c:v>
                </c:pt>
                <c:pt idx="1">
                  <c:v>19.11</c:v>
                </c:pt>
                <c:pt idx="2">
                  <c:v>16.71</c:v>
                </c:pt>
                <c:pt idx="3">
                  <c:v>15.24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82-6148-B08D-AE70BEF5E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74094848"/>
        <c:axId val="1074098432"/>
      </c:barChart>
      <c:catAx>
        <c:axId val="1074094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074098432"/>
        <c:crosses val="autoZero"/>
        <c:auto val="1"/>
        <c:lblAlgn val="ctr"/>
        <c:lblOffset val="100"/>
        <c:noMultiLvlLbl val="0"/>
      </c:catAx>
      <c:valAx>
        <c:axId val="1074098432"/>
        <c:scaling>
          <c:orientation val="minMax"/>
        </c:scaling>
        <c:delete val="1"/>
        <c:axPos val="t"/>
        <c:numFmt formatCode="0.0" sourceLinked="0"/>
        <c:majorTickMark val="none"/>
        <c:minorTickMark val="none"/>
        <c:tickLblPos val="nextTo"/>
        <c:crossAx val="107409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9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9D-C64F-B7EC-37D33C06314A}"/>
              </c:ext>
            </c:extLst>
          </c:dPt>
          <c:dPt>
            <c:idx val="1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9D-C64F-B7EC-37D33C06314A}"/>
              </c:ext>
            </c:extLst>
          </c:dPt>
          <c:dPt>
            <c:idx val="2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9D-C64F-B7EC-37D33C06314A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Churn_Analysis!$C$2:$C$4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Churn_Analysis!$F$2:$F$4</c:f>
              <c:numCache>
                <c:formatCode>0.00</c:formatCode>
                <c:ptCount val="3"/>
                <c:pt idx="0">
                  <c:v>42.71</c:v>
                </c:pt>
                <c:pt idx="1">
                  <c:v>11.27</c:v>
                </c:pt>
                <c:pt idx="2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9D-C64F-B7EC-37D33C063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50103744"/>
        <c:axId val="1050108224"/>
      </c:barChart>
      <c:catAx>
        <c:axId val="10501037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050108224"/>
        <c:crosses val="autoZero"/>
        <c:auto val="1"/>
        <c:lblAlgn val="ctr"/>
        <c:lblOffset val="100"/>
        <c:noMultiLvlLbl val="0"/>
      </c:catAx>
      <c:valAx>
        <c:axId val="1050108224"/>
        <c:scaling>
          <c:orientation val="minMax"/>
        </c:scaling>
        <c:delete val="1"/>
        <c:axPos val="t"/>
        <c:numFmt formatCode="0.0" sourceLinked="0"/>
        <c:majorTickMark val="none"/>
        <c:minorTickMark val="none"/>
        <c:tickLblPos val="nextTo"/>
        <c:crossAx val="1050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46-8946-828C-2D949035544C}"/>
              </c:ext>
            </c:extLst>
          </c:dPt>
          <c:dPt>
            <c:idx val="1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46-8946-828C-2D949035544C}"/>
              </c:ext>
            </c:extLst>
          </c:dPt>
          <c:dLbls>
            <c:dLbl>
              <c:idx val="0"/>
              <c:layout>
                <c:manualLayout>
                  <c:x val="0.11892583718941108"/>
                  <c:y val="0.2531250311423513"/>
                </c:manualLayout>
              </c:layout>
              <c:tx>
                <c:rich>
                  <a:bodyPr/>
                  <a:lstStyle/>
                  <a:p>
                    <a:fld id="{457F0151-A69B-CB4D-B358-2B244BACEB69}" type="PERCENTAGE">
                      <a:rPr lang="en-US" sz="1000">
                        <a:solidFill>
                          <a:srgbClr val="C00000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D46-8946-828C-2D949035544C}"/>
                </c:ext>
              </c:extLst>
            </c:dLbl>
            <c:dLbl>
              <c:idx val="1"/>
              <c:layout>
                <c:manualLayout>
                  <c:x val="-0.10358056787464852"/>
                  <c:y val="8.4375010380783586E-2"/>
                </c:manualLayout>
              </c:layout>
              <c:tx>
                <c:rich>
                  <a:bodyPr/>
                  <a:lstStyle/>
                  <a:p>
                    <a:fld id="{C0711461-02F6-3745-BCF8-6558446E5060}" type="PERCENTAGE">
                      <a:rPr lang="en-US" sz="1000">
                        <a:solidFill>
                          <a:srgbClr val="1F3864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D46-8946-828C-2D94903554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Revenue_Stability!$A$2:$A$3</c:f>
              <c:strCache>
                <c:ptCount val="2"/>
                <c:pt idx="0">
                  <c:v>Monthly Revenue Lost (£)</c:v>
                </c:pt>
                <c:pt idx="1">
                  <c:v>Monthly Revenue Retained (£)</c:v>
                </c:pt>
              </c:strCache>
            </c:strRef>
          </c:cat>
          <c:val>
            <c:numRef>
              <c:f>Revenue_Stability!$B$2:$B$3</c:f>
              <c:numCache>
                <c:formatCode>#,##0.00</c:formatCode>
                <c:ptCount val="2"/>
                <c:pt idx="0">
                  <c:v>139130.85</c:v>
                </c:pt>
                <c:pt idx="1">
                  <c:v>316985.75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46-8946-828C-2D9490355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79-3443-B3F0-00652154259A}"/>
              </c:ext>
            </c:extLst>
          </c:dPt>
          <c:dPt>
            <c:idx val="1"/>
            <c:invertIfNegative val="0"/>
            <c:bubble3D val="0"/>
            <c:spPr>
              <a:solidFill>
                <a:srgbClr val="C9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279-3443-B3F0-00652154259A}"/>
              </c:ext>
            </c:extLst>
          </c:dPt>
          <c:dPt>
            <c:idx val="2"/>
            <c:invertIfNegative val="0"/>
            <c:bubble3D val="0"/>
            <c:spPr>
              <a:solidFill>
                <a:srgbClr val="C9A8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79-3443-B3F0-00652154259A}"/>
              </c:ext>
            </c:extLst>
          </c:dPt>
          <c:dPt>
            <c:idx val="3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279-3443-B3F0-00652154259A}"/>
              </c:ext>
            </c:extLst>
          </c:dPt>
          <c:dPt>
            <c:idx val="4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79-3443-B3F0-00652154259A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multi_dimension_churn!$I$2:$I$6</c:f>
              <c:strCache>
                <c:ptCount val="5"/>
                <c:pt idx="0">
                  <c:v>Month-to-month | 0-12 months | High value</c:v>
                </c:pt>
                <c:pt idx="1">
                  <c:v>Month-to-month | 13-36 months | High value</c:v>
                </c:pt>
                <c:pt idx="2">
                  <c:v>Month-to-month | 0-12 months | Mid value</c:v>
                </c:pt>
                <c:pt idx="3">
                  <c:v>Month-to-month | 37+ months | High value</c:v>
                </c:pt>
                <c:pt idx="4">
                  <c:v>Month-to-month | 0-12 months | Low value</c:v>
                </c:pt>
              </c:strCache>
            </c:strRef>
          </c:cat>
          <c:val>
            <c:numRef>
              <c:f>multi_dimension_churn!$J$2:$J$6</c:f>
              <c:numCache>
                <c:formatCode>General</c:formatCode>
                <c:ptCount val="5"/>
                <c:pt idx="0">
                  <c:v>69.19</c:v>
                </c:pt>
                <c:pt idx="1">
                  <c:v>46.48</c:v>
                </c:pt>
                <c:pt idx="2">
                  <c:v>44.98</c:v>
                </c:pt>
                <c:pt idx="3">
                  <c:v>33.81</c:v>
                </c:pt>
                <c:pt idx="4">
                  <c:v>28.99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9-3443-B3F0-006521542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38099392"/>
        <c:axId val="1538101632"/>
      </c:barChart>
      <c:catAx>
        <c:axId val="1538099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538101632"/>
        <c:crosses val="autoZero"/>
        <c:auto val="1"/>
        <c:lblAlgn val="ctr"/>
        <c:lblOffset val="100"/>
        <c:noMultiLvlLbl val="0"/>
      </c:catAx>
      <c:valAx>
        <c:axId val="153810163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53809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Customer Share</c:v>
          </c:tx>
          <c:spPr>
            <a:solidFill>
              <a:srgbClr val="C9A84C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Segment_Risk!$C$2:$C$4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Segment_Risk!$E$2:$E$4</c:f>
              <c:numCache>
                <c:formatCode>General</c:formatCode>
                <c:ptCount val="3"/>
                <c:pt idx="0">
                  <c:v>55.02</c:v>
                </c:pt>
                <c:pt idx="1">
                  <c:v>20.91</c:v>
                </c:pt>
                <c:pt idx="2">
                  <c:v>24.07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B-F941-9400-969059D0A794}"/>
            </c:ext>
          </c:extLst>
        </c:ser>
        <c:ser>
          <c:idx val="1"/>
          <c:order val="1"/>
          <c:tx>
            <c:v>Revenue Share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62626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Segment_Risk!$C$2:$C$4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Segment_Risk!$G$2:$G$4</c:f>
              <c:numCache>
                <c:formatCode>0.00</c:formatCode>
                <c:ptCount val="3"/>
                <c:pt idx="0">
                  <c:v>56.41</c:v>
                </c:pt>
                <c:pt idx="1">
                  <c:v>21.01</c:v>
                </c:pt>
                <c:pt idx="2">
                  <c:v>22.58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B-F941-9400-969059D0A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54449344"/>
        <c:axId val="1354451584"/>
      </c:barChart>
      <c:catAx>
        <c:axId val="1354449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62626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NG"/>
          </a:p>
        </c:txPr>
        <c:crossAx val="1354451584"/>
        <c:crosses val="autoZero"/>
        <c:auto val="1"/>
        <c:lblAlgn val="ctr"/>
        <c:lblOffset val="100"/>
        <c:noMultiLvlLbl val="0"/>
      </c:catAx>
      <c:valAx>
        <c:axId val="135445158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544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hyperlink" Target="#Dashboard_Customer!A1"/><Relationship Id="rId7" Type="http://schemas.openxmlformats.org/officeDocument/2006/relationships/chart" Target="../charts/chart13.xml"/><Relationship Id="rId2" Type="http://schemas.openxmlformats.org/officeDocument/2006/relationships/hyperlink" Target="#Dashboard!A1"/><Relationship Id="rId1" Type="http://schemas.openxmlformats.org/officeDocument/2006/relationships/hyperlink" Target="#Dashboard_Risk!A1"/><Relationship Id="rId6" Type="http://schemas.openxmlformats.org/officeDocument/2006/relationships/chart" Target="../charts/chart12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hyperlink" Target="#Dashboard_Customer!A1"/><Relationship Id="rId7" Type="http://schemas.openxmlformats.org/officeDocument/2006/relationships/chart" Target="../charts/chart16.xml"/><Relationship Id="rId2" Type="http://schemas.openxmlformats.org/officeDocument/2006/relationships/hyperlink" Target="#Dashboard!A1"/><Relationship Id="rId1" Type="http://schemas.openxmlformats.org/officeDocument/2006/relationships/hyperlink" Target="#Dashboard_Risk!A1"/><Relationship Id="rId6" Type="http://schemas.openxmlformats.org/officeDocument/2006/relationships/chart" Target="../charts/chart15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hyperlink" Target="#Dashboard_Customer!A1"/><Relationship Id="rId7" Type="http://schemas.openxmlformats.org/officeDocument/2006/relationships/chart" Target="../charts/chart18.xml"/><Relationship Id="rId2" Type="http://schemas.openxmlformats.org/officeDocument/2006/relationships/hyperlink" Target="#Dashboard!A1"/><Relationship Id="rId1" Type="http://schemas.openxmlformats.org/officeDocument/2006/relationships/hyperlink" Target="#Dashboard_Revenue!A1"/><Relationship Id="rId6" Type="http://schemas.openxmlformats.org/officeDocument/2006/relationships/hyperlink" Target="#Dashboard_Risk!A1"/><Relationship Id="rId5" Type="http://schemas.openxmlformats.org/officeDocument/2006/relationships/image" Target="../media/image2.svg"/><Relationship Id="rId10" Type="http://schemas.openxmlformats.org/officeDocument/2006/relationships/chart" Target="../charts/chart21.xml"/><Relationship Id="rId4" Type="http://schemas.openxmlformats.org/officeDocument/2006/relationships/image" Target="../media/image1.png"/><Relationship Id="rId9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hyperlink" Target="#Dashboard_Customer!A1"/><Relationship Id="rId7" Type="http://schemas.openxmlformats.org/officeDocument/2006/relationships/chart" Target="../charts/chart22.xml"/><Relationship Id="rId2" Type="http://schemas.openxmlformats.org/officeDocument/2006/relationships/hyperlink" Target="#Dashboard!A1"/><Relationship Id="rId1" Type="http://schemas.openxmlformats.org/officeDocument/2006/relationships/hyperlink" Target="#Dashboard_Revenue!A1"/><Relationship Id="rId6" Type="http://schemas.openxmlformats.org/officeDocument/2006/relationships/hyperlink" Target="#Dashboard_Risk!A1"/><Relationship Id="rId5" Type="http://schemas.openxmlformats.org/officeDocument/2006/relationships/image" Target="../media/image2.svg"/><Relationship Id="rId10" Type="http://schemas.openxmlformats.org/officeDocument/2006/relationships/chart" Target="../charts/chart25.xml"/><Relationship Id="rId4" Type="http://schemas.openxmlformats.org/officeDocument/2006/relationships/image" Target="../media/image1.png"/><Relationship Id="rId9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2051050</xdr:colOff>
      <xdr:row>14</xdr:row>
      <xdr:rowOff>152400</xdr:rowOff>
    </xdr:from>
    <xdr:to>
      <xdr:col>8</xdr:col>
      <xdr:colOff>2266950</xdr:colOff>
      <xdr:row>28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FDF1DE-C83F-C72B-14BF-D03328164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12700</xdr:rowOff>
    </xdr:from>
    <xdr:to>
      <xdr:col>4</xdr:col>
      <xdr:colOff>228600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8FE0C-CF03-26B4-61BC-981FAEFC0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16</xdr:row>
      <xdr:rowOff>0</xdr:rowOff>
    </xdr:from>
    <xdr:to>
      <xdr:col>8</xdr:col>
      <xdr:colOff>425450</xdr:colOff>
      <xdr:row>29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56FCC0-9854-21A3-0799-1333D73EE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4</xdr:col>
      <xdr:colOff>228600</xdr:colOff>
      <xdr:row>45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018622-7FA2-8C12-2B2E-0895B6085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12700</xdr:rowOff>
    </xdr:from>
    <xdr:to>
      <xdr:col>3</xdr:col>
      <xdr:colOff>101600</xdr:colOff>
      <xdr:row>39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7D6591-1374-11F4-4BFC-29A830518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6350</xdr:colOff>
      <xdr:row>26</xdr:row>
      <xdr:rowOff>12700</xdr:rowOff>
    </xdr:from>
    <xdr:to>
      <xdr:col>6</xdr:col>
      <xdr:colOff>730250</xdr:colOff>
      <xdr:row>39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DBCAB5-3B2D-7277-B9BE-C5559BA6A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42</xdr:row>
      <xdr:rowOff>12700</xdr:rowOff>
    </xdr:from>
    <xdr:to>
      <xdr:col>3</xdr:col>
      <xdr:colOff>546100</xdr:colOff>
      <xdr:row>55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6F7DD7-0F88-8946-84B2-813A3D2E7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0.76806</cdr:x>
      <cdr:y>0.76852</cdr:y>
    </cdr:from>
    <cdr:to>
      <cdr:x>0.96806</cdr:x>
      <cdr:y>0.93056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D5CA92-4FC7-1A5E-053C-EF9131EC3575}"/>
            </a:ext>
          </a:extLst>
        </cdr:cNvPr>
        <cdr:cNvSpPr txBox="1"/>
      </cdr:nvSpPr>
      <cdr:spPr>
        <a:xfrm xmlns:a="http://schemas.openxmlformats.org/drawingml/2006/main">
          <a:off x="3511550" y="2108200"/>
          <a:ext cx="9144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kern="1200">
              <a:solidFill>
                <a:srgbClr val="C00000"/>
              </a:solidFill>
            </a:rPr>
            <a:t>■</a:t>
          </a:r>
          <a:r>
            <a:rPr lang="en-GB" sz="1100" kern="1200">
              <a:solidFill>
                <a:srgbClr val="262626"/>
              </a:solidFill>
            </a:rPr>
            <a:t> Churned</a:t>
          </a:r>
        </a:p>
        <a:p xmlns:a="http://schemas.openxmlformats.org/drawingml/2006/main">
          <a:r>
            <a:rPr lang="en-GB" sz="1100" kern="1200">
              <a:solidFill>
                <a:srgbClr val="1F3864"/>
              </a:solidFill>
            </a:rPr>
            <a:t>■</a:t>
          </a:r>
          <a:r>
            <a:rPr lang="en-GB" sz="1100" kern="1200">
              <a:solidFill>
                <a:srgbClr val="262626"/>
              </a:solidFill>
            </a:rPr>
            <a:t> Retained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3</xdr:col>
      <xdr:colOff>927100</xdr:colOff>
      <xdr:row>29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FACEC-133F-FF06-03BB-407679EA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679450</xdr:colOff>
      <xdr:row>16</xdr:row>
      <xdr:rowOff>0</xdr:rowOff>
    </xdr:from>
    <xdr:to>
      <xdr:col>8</xdr:col>
      <xdr:colOff>6350</xdr:colOff>
      <xdr:row>29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ECC56F-5FED-4A26-99CE-A17496F4D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32</xdr:row>
      <xdr:rowOff>12700</xdr:rowOff>
    </xdr:from>
    <xdr:to>
      <xdr:col>3</xdr:col>
      <xdr:colOff>933450</xdr:colOff>
      <xdr:row>45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3A30CE-5955-5FBA-A936-113B006FF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679450</xdr:colOff>
      <xdr:row>32</xdr:row>
      <xdr:rowOff>12700</xdr:rowOff>
    </xdr:from>
    <xdr:to>
      <xdr:col>8</xdr:col>
      <xdr:colOff>6350</xdr:colOff>
      <xdr:row>45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4471EA-6877-D178-0C2C-E37C8E631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36</xdr:row>
      <xdr:rowOff>91440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3DBB7-9B2C-7648-AEAC-A73CB603CDFB}"/>
            </a:ext>
          </a:extLst>
        </xdr:cNvPr>
        <xdr:cNvSpPr/>
      </xdr:nvSpPr>
      <xdr:spPr>
        <a:xfrm>
          <a:off x="0" y="0"/>
          <a:ext cx="1625600" cy="7406640"/>
        </a:xfrm>
        <a:prstGeom prst="rect">
          <a:avLst/>
        </a:prstGeom>
        <a:solidFill>
          <a:srgbClr val="1F3864"/>
        </a:solidFill>
        <a:ln w="19050" cap="flat" cmpd="sng" algn="ctr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446617</xdr:colOff>
      <xdr:row>2</xdr:row>
      <xdr:rowOff>80433</xdr:rowOff>
    </xdr:from>
    <xdr:to>
      <xdr:col>1</xdr:col>
      <xdr:colOff>370417</xdr:colOff>
      <xdr:row>5</xdr:row>
      <xdr:rowOff>156632</xdr:rowOff>
    </xdr:to>
    <xdr:grpSp>
      <xdr:nvGrpSpPr>
        <xdr:cNvPr id="3" name="Group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7D671F-6EC4-E04B-8060-6F0D7307F93A}"/>
            </a:ext>
          </a:extLst>
        </xdr:cNvPr>
        <xdr:cNvGrpSpPr/>
      </xdr:nvGrpSpPr>
      <xdr:grpSpPr>
        <a:xfrm>
          <a:off x="446617" y="486833"/>
          <a:ext cx="736600" cy="685799"/>
          <a:chOff x="853017" y="503766"/>
          <a:chExt cx="800100" cy="685799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CC1AEE4D-18C3-B27D-7B4E-6EDCCE871C6B}"/>
              </a:ext>
            </a:extLst>
          </xdr:cNvPr>
          <xdr:cNvSpPr/>
        </xdr:nvSpPr>
        <xdr:spPr>
          <a:xfrm>
            <a:off x="853017" y="503766"/>
            <a:ext cx="800100" cy="417194"/>
          </a:xfrm>
          <a:custGeom>
            <a:avLst/>
            <a:gdLst>
              <a:gd name="csX0" fmla="*/ 628650 w 800100"/>
              <a:gd name="csY0" fmla="*/ 217170 h 417194"/>
              <a:gd name="csX1" fmla="*/ 628650 w 800100"/>
              <a:gd name="csY1" fmla="*/ 57150 h 417194"/>
              <a:gd name="csX2" fmla="*/ 552450 w 800100"/>
              <a:gd name="csY2" fmla="*/ 57150 h 417194"/>
              <a:gd name="csX3" fmla="*/ 552450 w 800100"/>
              <a:gd name="csY3" fmla="*/ 144780 h 417194"/>
              <a:gd name="csX4" fmla="*/ 400050 w 800100"/>
              <a:gd name="csY4" fmla="*/ 0 h 417194"/>
              <a:gd name="csX5" fmla="*/ 400050 w 800100"/>
              <a:gd name="csY5" fmla="*/ 0 h 417194"/>
              <a:gd name="csX6" fmla="*/ 0 w 800100"/>
              <a:gd name="csY6" fmla="*/ 381000 h 417194"/>
              <a:gd name="csX7" fmla="*/ 42863 w 800100"/>
              <a:gd name="csY7" fmla="*/ 417195 h 417194"/>
              <a:gd name="csX8" fmla="*/ 400050 w 800100"/>
              <a:gd name="csY8" fmla="*/ 78105 h 417194"/>
              <a:gd name="csX9" fmla="*/ 400050 w 800100"/>
              <a:gd name="csY9" fmla="*/ 78105 h 417194"/>
              <a:gd name="csX10" fmla="*/ 757238 w 800100"/>
              <a:gd name="csY10" fmla="*/ 417195 h 417194"/>
              <a:gd name="csX11" fmla="*/ 800100 w 800100"/>
              <a:gd name="csY11" fmla="*/ 381000 h 41719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</a:cxnLst>
            <a:rect l="l" t="t" r="r" b="b"/>
            <a:pathLst>
              <a:path w="800100" h="417194">
                <a:moveTo>
                  <a:pt x="628650" y="217170"/>
                </a:moveTo>
                <a:lnTo>
                  <a:pt x="628650" y="57150"/>
                </a:lnTo>
                <a:lnTo>
                  <a:pt x="552450" y="57150"/>
                </a:lnTo>
                <a:lnTo>
                  <a:pt x="552450" y="144780"/>
                </a:lnTo>
                <a:lnTo>
                  <a:pt x="400050" y="0"/>
                </a:lnTo>
                <a:lnTo>
                  <a:pt x="400050" y="0"/>
                </a:lnTo>
                <a:lnTo>
                  <a:pt x="0" y="381000"/>
                </a:lnTo>
                <a:lnTo>
                  <a:pt x="42863" y="417195"/>
                </a:lnTo>
                <a:lnTo>
                  <a:pt x="400050" y="78105"/>
                </a:lnTo>
                <a:lnTo>
                  <a:pt x="400050" y="78105"/>
                </a:lnTo>
                <a:lnTo>
                  <a:pt x="757238" y="417195"/>
                </a:lnTo>
                <a:lnTo>
                  <a:pt x="800100" y="381000"/>
                </a:lnTo>
                <a:close/>
              </a:path>
            </a:pathLst>
          </a:custGeom>
          <a:solidFill>
            <a:srgbClr val="C00000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09046D61-D134-B656-EF14-EDD20C549F0A}"/>
              </a:ext>
            </a:extLst>
          </xdr:cNvPr>
          <xdr:cNvSpPr/>
        </xdr:nvSpPr>
        <xdr:spPr>
          <a:xfrm>
            <a:off x="967317" y="635210"/>
            <a:ext cx="571500" cy="554355"/>
          </a:xfrm>
          <a:custGeom>
            <a:avLst/>
            <a:gdLst>
              <a:gd name="csX0" fmla="*/ 0 w 571500"/>
              <a:gd name="csY0" fmla="*/ 271463 h 554355"/>
              <a:gd name="csX1" fmla="*/ 0 w 571500"/>
              <a:gd name="csY1" fmla="*/ 554355 h 554355"/>
              <a:gd name="csX2" fmla="*/ 228600 w 571500"/>
              <a:gd name="csY2" fmla="*/ 554355 h 554355"/>
              <a:gd name="csX3" fmla="*/ 228600 w 571500"/>
              <a:gd name="csY3" fmla="*/ 316230 h 554355"/>
              <a:gd name="csX4" fmla="*/ 342900 w 571500"/>
              <a:gd name="csY4" fmla="*/ 316230 h 554355"/>
              <a:gd name="csX5" fmla="*/ 342900 w 571500"/>
              <a:gd name="csY5" fmla="*/ 554355 h 554355"/>
              <a:gd name="csX6" fmla="*/ 571500 w 571500"/>
              <a:gd name="csY6" fmla="*/ 554355 h 554355"/>
              <a:gd name="csX7" fmla="*/ 571500 w 571500"/>
              <a:gd name="csY7" fmla="*/ 271463 h 554355"/>
              <a:gd name="csX8" fmla="*/ 285750 w 571500"/>
              <a:gd name="csY8" fmla="*/ 0 h 554355"/>
              <a:gd name="csX9" fmla="*/ 0 w 571500"/>
              <a:gd name="csY9" fmla="*/ 271463 h 554355"/>
              <a:gd name="csX10" fmla="*/ 171450 w 571500"/>
              <a:gd name="csY10" fmla="*/ 430530 h 554355"/>
              <a:gd name="csX11" fmla="*/ 57150 w 571500"/>
              <a:gd name="csY11" fmla="*/ 430530 h 554355"/>
              <a:gd name="csX12" fmla="*/ 57150 w 571500"/>
              <a:gd name="csY12" fmla="*/ 316230 h 554355"/>
              <a:gd name="csX13" fmla="*/ 171450 w 571500"/>
              <a:gd name="csY13" fmla="*/ 316230 h 554355"/>
              <a:gd name="csX14" fmla="*/ 171450 w 571500"/>
              <a:gd name="csY14" fmla="*/ 430530 h 554355"/>
              <a:gd name="csX15" fmla="*/ 400050 w 571500"/>
              <a:gd name="csY15" fmla="*/ 316230 h 554355"/>
              <a:gd name="csX16" fmla="*/ 514350 w 571500"/>
              <a:gd name="csY16" fmla="*/ 316230 h 554355"/>
              <a:gd name="csX17" fmla="*/ 514350 w 571500"/>
              <a:gd name="csY17" fmla="*/ 430530 h 554355"/>
              <a:gd name="csX18" fmla="*/ 400050 w 571500"/>
              <a:gd name="csY18" fmla="*/ 430530 h 554355"/>
              <a:gd name="csX19" fmla="*/ 400050 w 571500"/>
              <a:gd name="csY19" fmla="*/ 316230 h 5543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571500" h="554355">
                <a:moveTo>
                  <a:pt x="0" y="271463"/>
                </a:moveTo>
                <a:lnTo>
                  <a:pt x="0" y="554355"/>
                </a:lnTo>
                <a:lnTo>
                  <a:pt x="228600" y="554355"/>
                </a:lnTo>
                <a:lnTo>
                  <a:pt x="228600" y="316230"/>
                </a:lnTo>
                <a:lnTo>
                  <a:pt x="342900" y="316230"/>
                </a:lnTo>
                <a:lnTo>
                  <a:pt x="342900" y="554355"/>
                </a:lnTo>
                <a:lnTo>
                  <a:pt x="571500" y="554355"/>
                </a:lnTo>
                <a:lnTo>
                  <a:pt x="571500" y="271463"/>
                </a:lnTo>
                <a:lnTo>
                  <a:pt x="285750" y="0"/>
                </a:lnTo>
                <a:lnTo>
                  <a:pt x="0" y="271463"/>
                </a:lnTo>
                <a:close/>
                <a:moveTo>
                  <a:pt x="171450" y="430530"/>
                </a:moveTo>
                <a:lnTo>
                  <a:pt x="57150" y="430530"/>
                </a:lnTo>
                <a:lnTo>
                  <a:pt x="57150" y="316230"/>
                </a:lnTo>
                <a:lnTo>
                  <a:pt x="171450" y="316230"/>
                </a:lnTo>
                <a:lnTo>
                  <a:pt x="171450" y="430530"/>
                </a:lnTo>
                <a:close/>
                <a:moveTo>
                  <a:pt x="400050" y="316230"/>
                </a:moveTo>
                <a:lnTo>
                  <a:pt x="514350" y="316230"/>
                </a:lnTo>
                <a:lnTo>
                  <a:pt x="514350" y="430530"/>
                </a:lnTo>
                <a:lnTo>
                  <a:pt x="400050" y="430530"/>
                </a:lnTo>
                <a:lnTo>
                  <a:pt x="400050" y="316230"/>
                </a:lnTo>
                <a:close/>
              </a:path>
            </a:pathLst>
          </a:custGeom>
          <a:solidFill>
            <a:srgbClr val="E97132">
              <a:lumMod val="20000"/>
              <a:lumOff val="80000"/>
            </a:srgbClr>
          </a:solidFill>
          <a:ln w="9525" cap="flat">
            <a:noFill/>
            <a:prstDash val="solid"/>
            <a:miter/>
          </a:ln>
        </xdr:spPr>
      </xdr:sp>
    </xdr:grpSp>
    <xdr:clientData/>
  </xdr:twoCellAnchor>
  <xdr:twoCellAnchor>
    <xdr:from>
      <xdr:col>0</xdr:col>
      <xdr:colOff>355602</xdr:colOff>
      <xdr:row>8</xdr:row>
      <xdr:rowOff>16933</xdr:rowOff>
    </xdr:from>
    <xdr:to>
      <xdr:col>1</xdr:col>
      <xdr:colOff>457202</xdr:colOff>
      <xdr:row>12</xdr:row>
      <xdr:rowOff>118533</xdr:rowOff>
    </xdr:to>
    <xdr:pic>
      <xdr:nvPicPr>
        <xdr:cNvPr id="6" name="Graphic 5" descr="User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73C702-6608-1545-8DAA-D312AEC0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55602" y="1642533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444496</xdr:colOff>
      <xdr:row>14</xdr:row>
      <xdr:rowOff>138854</xdr:rowOff>
    </xdr:from>
    <xdr:to>
      <xdr:col>1</xdr:col>
      <xdr:colOff>368296</xdr:colOff>
      <xdr:row>17</xdr:row>
      <xdr:rowOff>169334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54FE102-E602-A24E-A969-E138B5EBC173}"/>
            </a:ext>
          </a:extLst>
        </xdr:cNvPr>
        <xdr:cNvGrpSpPr/>
      </xdr:nvGrpSpPr>
      <xdr:grpSpPr>
        <a:xfrm>
          <a:off x="444496" y="2983654"/>
          <a:ext cx="736600" cy="640080"/>
          <a:chOff x="850900" y="2979669"/>
          <a:chExt cx="838200" cy="635598"/>
        </a:xfrm>
      </xdr:grpSpPr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D4A18545-3004-2303-FF6E-769EC41C213B}"/>
              </a:ext>
            </a:extLst>
          </xdr:cNvPr>
          <xdr:cNvSpPr/>
        </xdr:nvSpPr>
        <xdr:spPr>
          <a:xfrm>
            <a:off x="850900" y="3235761"/>
            <a:ext cx="838200" cy="379506"/>
          </a:xfrm>
          <a:custGeom>
            <a:avLst/>
            <a:gdLst>
              <a:gd name="csX0" fmla="*/ 781050 w 838200"/>
              <a:gd name="csY0" fmla="*/ 295275 h 381000"/>
              <a:gd name="csX1" fmla="*/ 752475 w 838200"/>
              <a:gd name="csY1" fmla="*/ 323850 h 381000"/>
              <a:gd name="csX2" fmla="*/ 95250 w 838200"/>
              <a:gd name="csY2" fmla="*/ 323850 h 381000"/>
              <a:gd name="csX3" fmla="*/ 57150 w 838200"/>
              <a:gd name="csY3" fmla="*/ 285750 h 381000"/>
              <a:gd name="csX4" fmla="*/ 57150 w 838200"/>
              <a:gd name="csY4" fmla="*/ 95250 h 381000"/>
              <a:gd name="csX5" fmla="*/ 95250 w 838200"/>
              <a:gd name="csY5" fmla="*/ 57150 h 381000"/>
              <a:gd name="csX6" fmla="*/ 752475 w 838200"/>
              <a:gd name="csY6" fmla="*/ 57150 h 381000"/>
              <a:gd name="csX7" fmla="*/ 781050 w 838200"/>
              <a:gd name="csY7" fmla="*/ 85725 h 381000"/>
              <a:gd name="csX8" fmla="*/ 781050 w 838200"/>
              <a:gd name="csY8" fmla="*/ 295275 h 381000"/>
              <a:gd name="csX9" fmla="*/ 0 w 838200"/>
              <a:gd name="csY9" fmla="*/ 0 h 381000"/>
              <a:gd name="csX10" fmla="*/ 0 w 838200"/>
              <a:gd name="csY10" fmla="*/ 381000 h 381000"/>
              <a:gd name="csX11" fmla="*/ 838200 w 838200"/>
              <a:gd name="csY11" fmla="*/ 381000 h 381000"/>
              <a:gd name="csX12" fmla="*/ 838200 w 838200"/>
              <a:gd name="csY12" fmla="*/ 0 h 381000"/>
              <a:gd name="csX13" fmla="*/ 0 w 838200"/>
              <a:gd name="csY13" fmla="*/ 0 h 38100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</a:cxnLst>
            <a:rect l="l" t="t" r="r" b="b"/>
            <a:pathLst>
              <a:path w="838200" h="381000">
                <a:moveTo>
                  <a:pt x="781050" y="295275"/>
                </a:moveTo>
                <a:lnTo>
                  <a:pt x="752475" y="323850"/>
                </a:lnTo>
                <a:lnTo>
                  <a:pt x="95250" y="323850"/>
                </a:lnTo>
                <a:lnTo>
                  <a:pt x="57150" y="285750"/>
                </a:lnTo>
                <a:lnTo>
                  <a:pt x="57150" y="95250"/>
                </a:lnTo>
                <a:lnTo>
                  <a:pt x="95250" y="57150"/>
                </a:lnTo>
                <a:lnTo>
                  <a:pt x="752475" y="57150"/>
                </a:lnTo>
                <a:lnTo>
                  <a:pt x="781050" y="85725"/>
                </a:lnTo>
                <a:lnTo>
                  <a:pt x="781050" y="295275"/>
                </a:lnTo>
                <a:close/>
                <a:moveTo>
                  <a:pt x="0" y="0"/>
                </a:moveTo>
                <a:lnTo>
                  <a:pt x="0" y="381000"/>
                </a:lnTo>
                <a:lnTo>
                  <a:pt x="838200" y="381000"/>
                </a:lnTo>
                <a:lnTo>
                  <a:pt x="838200" y="0"/>
                </a:lnTo>
                <a:lnTo>
                  <a:pt x="0" y="0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515E5AE0-6068-6292-8DA3-0011D39C4A7D}"/>
              </a:ext>
            </a:extLst>
          </xdr:cNvPr>
          <xdr:cNvSpPr/>
        </xdr:nvSpPr>
        <xdr:spPr>
          <a:xfrm>
            <a:off x="1193800" y="3331011"/>
            <a:ext cx="152400" cy="189006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A4F3E74D-2EC2-D072-E290-45EA83B8D309}"/>
              </a:ext>
            </a:extLst>
          </xdr:cNvPr>
          <xdr:cNvSpPr/>
        </xdr:nvSpPr>
        <xdr:spPr>
          <a:xfrm>
            <a:off x="1003300" y="3397686"/>
            <a:ext cx="57150" cy="55656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C0EED451-0656-4E99-8200-F3D7B0202F33}"/>
              </a:ext>
            </a:extLst>
          </xdr:cNvPr>
          <xdr:cNvSpPr/>
        </xdr:nvSpPr>
        <xdr:spPr>
          <a:xfrm>
            <a:off x="1479550" y="3397686"/>
            <a:ext cx="57150" cy="55656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78106069-209D-38AE-E6F1-750A594D0A73}"/>
              </a:ext>
            </a:extLst>
          </xdr:cNvPr>
          <xdr:cNvSpPr/>
        </xdr:nvSpPr>
        <xdr:spPr>
          <a:xfrm>
            <a:off x="959484" y="2979669"/>
            <a:ext cx="552450" cy="208055"/>
          </a:xfrm>
          <a:custGeom>
            <a:avLst/>
            <a:gdLst>
              <a:gd name="csX0" fmla="*/ 481013 w 552450"/>
              <a:gd name="csY0" fmla="*/ 75248 h 209549"/>
              <a:gd name="csX1" fmla="*/ 495300 w 552450"/>
              <a:gd name="csY1" fmla="*/ 111443 h 209549"/>
              <a:gd name="csX2" fmla="*/ 552450 w 552450"/>
              <a:gd name="csY2" fmla="*/ 100012 h 209549"/>
              <a:gd name="csX3" fmla="*/ 512445 w 552450"/>
              <a:gd name="csY3" fmla="*/ 0 h 209549"/>
              <a:gd name="csX4" fmla="*/ 0 w 552450"/>
              <a:gd name="csY4" fmla="*/ 209550 h 209549"/>
              <a:gd name="csX5" fmla="*/ 293370 w 552450"/>
              <a:gd name="csY5" fmla="*/ 151448 h 20954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552450" h="209549">
                <a:moveTo>
                  <a:pt x="481013" y="75248"/>
                </a:moveTo>
                <a:lnTo>
                  <a:pt x="495300" y="111443"/>
                </a:lnTo>
                <a:lnTo>
                  <a:pt x="552450" y="100012"/>
                </a:lnTo>
                <a:lnTo>
                  <a:pt x="512445" y="0"/>
                </a:lnTo>
                <a:lnTo>
                  <a:pt x="0" y="209550"/>
                </a:lnTo>
                <a:lnTo>
                  <a:pt x="293370" y="151448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3" name="Freeform 12">
            <a:extLst>
              <a:ext uri="{FF2B5EF4-FFF2-40B4-BE49-F238E27FC236}">
                <a16:creationId xmlns:a16="http://schemas.microsoft.com/office/drawing/2014/main" id="{90A8AA21-05F4-7D86-6B91-C67BC0907679}"/>
              </a:ext>
            </a:extLst>
          </xdr:cNvPr>
          <xdr:cNvSpPr/>
        </xdr:nvSpPr>
        <xdr:spPr>
          <a:xfrm>
            <a:off x="1098550" y="3101999"/>
            <a:ext cx="507682" cy="97155"/>
          </a:xfrm>
          <a:custGeom>
            <a:avLst/>
            <a:gdLst>
              <a:gd name="csX0" fmla="*/ 292418 w 507682"/>
              <a:gd name="csY0" fmla="*/ 97155 h 97155"/>
              <a:gd name="csX1" fmla="*/ 442913 w 507682"/>
              <a:gd name="csY1" fmla="*/ 67628 h 97155"/>
              <a:gd name="csX2" fmla="*/ 449580 w 507682"/>
              <a:gd name="csY2" fmla="*/ 97155 h 97155"/>
              <a:gd name="csX3" fmla="*/ 507683 w 507682"/>
              <a:gd name="csY3" fmla="*/ 97155 h 97155"/>
              <a:gd name="csX4" fmla="*/ 488633 w 507682"/>
              <a:gd name="csY4" fmla="*/ 0 h 97155"/>
              <a:gd name="csX5" fmla="*/ 0 w 507682"/>
              <a:gd name="csY5" fmla="*/ 97155 h 971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507682" h="97155">
                <a:moveTo>
                  <a:pt x="292418" y="97155"/>
                </a:moveTo>
                <a:lnTo>
                  <a:pt x="442913" y="67628"/>
                </a:lnTo>
                <a:lnTo>
                  <a:pt x="449580" y="97155"/>
                </a:lnTo>
                <a:lnTo>
                  <a:pt x="507683" y="97155"/>
                </a:lnTo>
                <a:lnTo>
                  <a:pt x="488633" y="0"/>
                </a:lnTo>
                <a:lnTo>
                  <a:pt x="0" y="97155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</xdr:grpSp>
    <xdr:clientData/>
  </xdr:twoCellAnchor>
  <xdr:twoCellAnchor>
    <xdr:from>
      <xdr:col>0</xdr:col>
      <xdr:colOff>402055</xdr:colOff>
      <xdr:row>21</xdr:row>
      <xdr:rowOff>78078</xdr:rowOff>
    </xdr:from>
    <xdr:to>
      <xdr:col>1</xdr:col>
      <xdr:colOff>347246</xdr:colOff>
      <xdr:row>24</xdr:row>
      <xdr:rowOff>192616</xdr:rowOff>
    </xdr:to>
    <xdr:sp macro="" textlink="">
      <xdr:nvSpPr>
        <xdr:cNvPr id="14" name="Graphic 8" descr="Warning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428DA-8A81-214A-8821-223D09EFB8C1}"/>
            </a:ext>
          </a:extLst>
        </xdr:cNvPr>
        <xdr:cNvSpPr/>
      </xdr:nvSpPr>
      <xdr:spPr>
        <a:xfrm>
          <a:off x="402055" y="4345278"/>
          <a:ext cx="757991" cy="724138"/>
        </a:xfrm>
        <a:custGeom>
          <a:avLst/>
          <a:gdLst>
            <a:gd name="csX0" fmla="*/ 816511 w 821491"/>
            <a:gd name="csY0" fmla="*/ 666988 h 724138"/>
            <a:gd name="csX1" fmla="*/ 444083 w 821491"/>
            <a:gd name="csY1" fmla="*/ 19288 h 724138"/>
            <a:gd name="csX2" fmla="*/ 378361 w 821491"/>
            <a:gd name="csY2" fmla="*/ 19288 h 724138"/>
            <a:gd name="csX3" fmla="*/ 4981 w 821491"/>
            <a:gd name="csY3" fmla="*/ 666988 h 724138"/>
            <a:gd name="csX4" fmla="*/ 38318 w 821491"/>
            <a:gd name="csY4" fmla="*/ 724138 h 724138"/>
            <a:gd name="csX5" fmla="*/ 410746 w 821491"/>
            <a:gd name="csY5" fmla="*/ 724138 h 724138"/>
            <a:gd name="csX6" fmla="*/ 783173 w 821491"/>
            <a:gd name="csY6" fmla="*/ 724138 h 724138"/>
            <a:gd name="csX7" fmla="*/ 816511 w 821491"/>
            <a:gd name="csY7" fmla="*/ 666988 h 724138"/>
            <a:gd name="csX8" fmla="*/ 382171 w 821491"/>
            <a:gd name="csY8" fmla="*/ 171688 h 724138"/>
            <a:gd name="csX9" fmla="*/ 439321 w 821491"/>
            <a:gd name="csY9" fmla="*/ 171688 h 724138"/>
            <a:gd name="csX10" fmla="*/ 439321 w 821491"/>
            <a:gd name="csY10" fmla="*/ 505063 h 724138"/>
            <a:gd name="csX11" fmla="*/ 382171 w 821491"/>
            <a:gd name="csY11" fmla="*/ 505063 h 724138"/>
            <a:gd name="csX12" fmla="*/ 382171 w 821491"/>
            <a:gd name="csY12" fmla="*/ 171688 h 724138"/>
            <a:gd name="csX13" fmla="*/ 410746 w 821491"/>
            <a:gd name="csY13" fmla="*/ 638413 h 724138"/>
            <a:gd name="csX14" fmla="*/ 363121 w 821491"/>
            <a:gd name="csY14" fmla="*/ 590788 h 724138"/>
            <a:gd name="csX15" fmla="*/ 410746 w 821491"/>
            <a:gd name="csY15" fmla="*/ 543163 h 724138"/>
            <a:gd name="csX16" fmla="*/ 458371 w 821491"/>
            <a:gd name="csY16" fmla="*/ 590788 h 724138"/>
            <a:gd name="csX17" fmla="*/ 410746 w 821491"/>
            <a:gd name="csY17" fmla="*/ 638413 h 7241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</a:cxnLst>
          <a:rect l="l" t="t" r="r" b="b"/>
          <a:pathLst>
            <a:path w="821491" h="724138">
              <a:moveTo>
                <a:pt x="816511" y="666988"/>
              </a:moveTo>
              <a:lnTo>
                <a:pt x="444083" y="19288"/>
              </a:lnTo>
              <a:cubicBezTo>
                <a:pt x="429796" y="-6429"/>
                <a:pt x="392648" y="-6429"/>
                <a:pt x="378361" y="19288"/>
              </a:cubicBezTo>
              <a:lnTo>
                <a:pt x="4981" y="666988"/>
              </a:lnTo>
              <a:cubicBezTo>
                <a:pt x="-9307" y="692706"/>
                <a:pt x="8791" y="724138"/>
                <a:pt x="38318" y="724138"/>
              </a:cubicBezTo>
              <a:lnTo>
                <a:pt x="410746" y="724138"/>
              </a:lnTo>
              <a:lnTo>
                <a:pt x="783173" y="724138"/>
              </a:lnTo>
              <a:cubicBezTo>
                <a:pt x="812701" y="724138"/>
                <a:pt x="830798" y="692706"/>
                <a:pt x="816511" y="666988"/>
              </a:cubicBezTo>
              <a:close/>
              <a:moveTo>
                <a:pt x="382171" y="171688"/>
              </a:moveTo>
              <a:lnTo>
                <a:pt x="439321" y="171688"/>
              </a:lnTo>
              <a:lnTo>
                <a:pt x="439321" y="505063"/>
              </a:lnTo>
              <a:lnTo>
                <a:pt x="382171" y="505063"/>
              </a:lnTo>
              <a:lnTo>
                <a:pt x="382171" y="171688"/>
              </a:lnTo>
              <a:close/>
              <a:moveTo>
                <a:pt x="410746" y="638413"/>
              </a:moveTo>
              <a:cubicBezTo>
                <a:pt x="384076" y="638413"/>
                <a:pt x="363121" y="617458"/>
                <a:pt x="363121" y="590788"/>
              </a:cubicBezTo>
              <a:cubicBezTo>
                <a:pt x="363121" y="564118"/>
                <a:pt x="384076" y="543163"/>
                <a:pt x="410746" y="543163"/>
              </a:cubicBezTo>
              <a:cubicBezTo>
                <a:pt x="437416" y="543163"/>
                <a:pt x="458371" y="564118"/>
                <a:pt x="458371" y="590788"/>
              </a:cubicBezTo>
              <a:cubicBezTo>
                <a:pt x="458371" y="617458"/>
                <a:pt x="437416" y="638413"/>
                <a:pt x="410746" y="638413"/>
              </a:cubicBezTo>
              <a:close/>
            </a:path>
          </a:pathLst>
        </a:custGeom>
        <a:solidFill>
          <a:sysClr val="window" lastClr="FFFFFF"/>
        </a:solidFill>
        <a:ln w="9525" cap="flat">
          <a:noFill/>
          <a:prstDash val="solid"/>
          <a:miter/>
        </a:ln>
      </xdr:spPr>
    </xdr:sp>
    <xdr:clientData/>
  </xdr:twoCellAnchor>
  <xdr:twoCellAnchor>
    <xdr:from>
      <xdr:col>2</xdr:col>
      <xdr:colOff>212727</xdr:colOff>
      <xdr:row>0</xdr:row>
      <xdr:rowOff>177801</xdr:rowOff>
    </xdr:from>
    <xdr:to>
      <xdr:col>19</xdr:col>
      <xdr:colOff>689428</xdr:colOff>
      <xdr:row>4</xdr:row>
      <xdr:rowOff>38100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B6E159D3-C2A8-B649-8FDE-22423475CF89}"/>
            </a:ext>
          </a:extLst>
        </xdr:cNvPr>
        <xdr:cNvSpPr/>
      </xdr:nvSpPr>
      <xdr:spPr>
        <a:xfrm>
          <a:off x="1838327" y="177801"/>
          <a:ext cx="14294301" cy="673099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Concentration &amp; Structural Risk — Contract Dependency, Service Risk &amp; High-Risk Profiles</a:t>
          </a:r>
        </a:p>
      </xdr:txBody>
    </xdr:sp>
    <xdr:clientData/>
  </xdr:twoCellAnchor>
  <xdr:twoCellAnchor>
    <xdr:from>
      <xdr:col>2</xdr:col>
      <xdr:colOff>212725</xdr:colOff>
      <xdr:row>2</xdr:row>
      <xdr:rowOff>136769</xdr:rowOff>
    </xdr:from>
    <xdr:to>
      <xdr:col>19</xdr:col>
      <xdr:colOff>689428</xdr:colOff>
      <xdr:row>4</xdr:row>
      <xdr:rowOff>39077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4ACBB96-2161-AE48-87CC-F5C29B3C5D7C}"/>
            </a:ext>
          </a:extLst>
        </xdr:cNvPr>
        <xdr:cNvSpPr/>
      </xdr:nvSpPr>
      <xdr:spPr>
        <a:xfrm>
          <a:off x="1838325" y="543169"/>
          <a:ext cx="14294303" cy="308708"/>
        </a:xfrm>
        <a:prstGeom prst="rect">
          <a:avLst/>
        </a:prstGeom>
        <a:solidFill>
          <a:srgbClr val="DAE3F3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900" i="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Risk pillar · M2M revenue concentration 56.41% · Fiber optic revenue concentration 62.11%</a:t>
          </a:r>
        </a:p>
      </xdr:txBody>
    </xdr:sp>
    <xdr:clientData/>
  </xdr:twoCellAnchor>
  <xdr:twoCellAnchor>
    <xdr:from>
      <xdr:col>2</xdr:col>
      <xdr:colOff>247560</xdr:colOff>
      <xdr:row>5</xdr:row>
      <xdr:rowOff>3736</xdr:rowOff>
    </xdr:from>
    <xdr:to>
      <xdr:col>7</xdr:col>
      <xdr:colOff>800100</xdr:colOff>
      <xdr:row>10</xdr:row>
      <xdr:rowOff>0</xdr:rowOff>
    </xdr:to>
    <xdr:sp macro="" textlink="KPI_Framework!C12">
      <xdr:nvSpPr>
        <xdr:cNvPr id="17" name="Rounded Rectangle 16">
          <a:extLst>
            <a:ext uri="{FF2B5EF4-FFF2-40B4-BE49-F238E27FC236}">
              <a16:creationId xmlns:a16="http://schemas.microsoft.com/office/drawing/2014/main" id="{6FE5C997-CBED-474A-BE19-8713E97A6BD1}"/>
            </a:ext>
          </a:extLst>
        </xdr:cNvPr>
        <xdr:cNvSpPr/>
      </xdr:nvSpPr>
      <xdr:spPr>
        <a:xfrm>
          <a:off x="1873160" y="1019736"/>
          <a:ext cx="4616540" cy="1012264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21100C8D-4268-DE4F-BD41-43376AC1D435}" type="TxLink"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56.41%</a:t>
          </a:fld>
          <a:endParaRPr lang="en-US" sz="3600" b="1" i="0" u="none" strike="noStrike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l"/>
          <a:r>
            <a:rPr lang="en-GB" sz="1100" b="1" i="0" u="none" strike="noStrike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⚠ Month-to-month revenue share</a:t>
          </a:r>
        </a:p>
      </xdr:txBody>
    </xdr:sp>
    <xdr:clientData/>
  </xdr:twoCellAnchor>
  <xdr:twoCellAnchor>
    <xdr:from>
      <xdr:col>2</xdr:col>
      <xdr:colOff>245533</xdr:colOff>
      <xdr:row>11</xdr:row>
      <xdr:rowOff>0</xdr:rowOff>
    </xdr:from>
    <xdr:to>
      <xdr:col>7</xdr:col>
      <xdr:colOff>800100</xdr:colOff>
      <xdr:row>26</xdr:row>
      <xdr:rowOff>63500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B1B53C84-3621-1F4D-BFEF-EC6BC9622355}"/>
            </a:ext>
          </a:extLst>
        </xdr:cNvPr>
        <xdr:cNvSpPr/>
      </xdr:nvSpPr>
      <xdr:spPr>
        <a:xfrm>
          <a:off x="1871133" y="2235200"/>
          <a:ext cx="4618567" cy="3111500"/>
        </a:xfrm>
        <a:prstGeom prst="roundRect">
          <a:avLst>
            <a:gd name="adj" fmla="val 7946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rgbClr val="1F386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Customer &amp; Revenue Share by Contract Type</a:t>
          </a:r>
        </a:p>
      </xdr:txBody>
    </xdr:sp>
    <xdr:clientData/>
  </xdr:twoCellAnchor>
  <xdr:twoCellAnchor>
    <xdr:from>
      <xdr:col>2</xdr:col>
      <xdr:colOff>194735</xdr:colOff>
      <xdr:row>27</xdr:row>
      <xdr:rowOff>44448</xdr:rowOff>
    </xdr:from>
    <xdr:to>
      <xdr:col>19</xdr:col>
      <xdr:colOff>671438</xdr:colOff>
      <xdr:row>36</xdr:row>
      <xdr:rowOff>54706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ABEC584F-297D-3149-AD50-06DEF6093D6F}"/>
            </a:ext>
          </a:extLst>
        </xdr:cNvPr>
        <xdr:cNvGrpSpPr/>
      </xdr:nvGrpSpPr>
      <xdr:grpSpPr>
        <a:xfrm>
          <a:off x="1820335" y="5530848"/>
          <a:ext cx="14294303" cy="1839058"/>
          <a:chOff x="1820335" y="8337548"/>
          <a:chExt cx="14294303" cy="1839058"/>
        </a:xfrm>
      </xdr:grpSpPr>
      <xdr:sp macro="" textlink="">
        <xdr:nvSpPr>
          <xdr:cNvPr id="21" name="Rounded Rectangle 20">
            <a:extLst>
              <a:ext uri="{FF2B5EF4-FFF2-40B4-BE49-F238E27FC236}">
                <a16:creationId xmlns:a16="http://schemas.microsoft.com/office/drawing/2014/main" id="{A0D29AC9-6DBF-A983-2BAE-68CB299A72C9}"/>
              </a:ext>
            </a:extLst>
          </xdr:cNvPr>
          <xdr:cNvSpPr/>
        </xdr:nvSpPr>
        <xdr:spPr>
          <a:xfrm>
            <a:off x="1820335" y="8337548"/>
            <a:ext cx="14289616" cy="1835152"/>
          </a:xfrm>
          <a:prstGeom prst="roundRect">
            <a:avLst>
              <a:gd name="adj" fmla="val 7946"/>
            </a:avLst>
          </a:prstGeom>
          <a:solidFill>
            <a:srgbClr val="1F386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7197258-B5CE-64E0-09A0-DF0FF1F5D375}"/>
              </a:ext>
            </a:extLst>
          </xdr:cNvPr>
          <xdr:cNvSpPr txBox="1"/>
        </xdr:nvSpPr>
        <xdr:spPr>
          <a:xfrm>
            <a:off x="2197100" y="8394700"/>
            <a:ext cx="19939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 b="1">
                <a:solidFill>
                  <a:srgbClr val="C9A84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Risk Pillar Findings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A53686A-AE5C-E89C-B576-1393603A7D7C}"/>
              </a:ext>
            </a:extLst>
          </xdr:cNvPr>
          <xdr:cNvSpPr txBox="1"/>
        </xdr:nvSpPr>
        <xdr:spPr>
          <a:xfrm>
            <a:off x="2184400" y="8661400"/>
            <a:ext cx="6451600" cy="1130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The business is heavily exposed to month-to-month contracts, where 55% of customers generate 56% of monthly revenue.</a:t>
            </a:r>
          </a:p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Fiber optic represents the greatest revenue concentration, contributing 62% of revenue while recording a 42% churn rate.</a:t>
            </a:r>
          </a:p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The 814 customers in the high-risk profile churned at 69.53%, 3.3× the 20.92% rate for all others; 566 had already left.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E63C230E-8458-3017-C94B-DA57B73C35B8}"/>
              </a:ext>
            </a:extLst>
          </xdr:cNvPr>
          <xdr:cNvSpPr/>
        </xdr:nvSpPr>
        <xdr:spPr>
          <a:xfrm>
            <a:off x="1820335" y="9867898"/>
            <a:ext cx="14294303" cy="308708"/>
          </a:xfrm>
          <a:prstGeom prst="rect">
            <a:avLst/>
          </a:prstGeom>
          <a:solidFill>
            <a:srgbClr val="DAE3F3"/>
          </a:solidFill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800" i="1">
                <a:solidFill>
                  <a:srgbClr val="262626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HarjiiAnalytics · Project 7 · Risk Pillar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5C039409-3FC6-BC1F-F9A1-408FF3ADFF4A}"/>
              </a:ext>
            </a:extLst>
          </xdr:cNvPr>
          <xdr:cNvSpPr txBox="1"/>
        </xdr:nvSpPr>
        <xdr:spPr>
          <a:xfrm>
            <a:off x="9160934" y="8413748"/>
            <a:ext cx="2218266" cy="2984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 b="1">
                <a:solidFill>
                  <a:srgbClr val="C9A84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Recommended Actions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61E81A5-30A1-C863-FBAF-8FCB2BB6AA9C}"/>
              </a:ext>
            </a:extLst>
          </xdr:cNvPr>
          <xdr:cNvSpPr txBox="1"/>
        </xdr:nvSpPr>
        <xdr:spPr>
          <a:xfrm>
            <a:off x="9160935" y="8667748"/>
            <a:ext cx="6451600" cy="1130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Reduce reliance on month-to-month contracts by incentivising migration to longer-term plans.</a:t>
            </a:r>
          </a:p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Focus retention investment on fiber optic customers, where the greatest revenue is exposed to churn.</a:t>
            </a:r>
          </a:p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Test the high-risk profile on active customers; if it holds, use it to prioritise outreach and retention offers.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12700</xdr:colOff>
      <xdr:row>49</xdr:row>
      <xdr:rowOff>101600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CACA415E-11AA-DF42-82DB-DC6288FB80E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638300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12700</xdr:colOff>
      <xdr:row>49</xdr:row>
      <xdr:rowOff>101600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82E13881-5D0F-074B-8A37-B92B5F0E185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638300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182033</xdr:colOff>
      <xdr:row>11</xdr:row>
      <xdr:rowOff>12700</xdr:rowOff>
    </xdr:from>
    <xdr:to>
      <xdr:col>13</xdr:col>
      <xdr:colOff>736600</xdr:colOff>
      <xdr:row>26</xdr:row>
      <xdr:rowOff>63500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C0D057EF-C331-DB46-AEBE-495B19EC4011}"/>
            </a:ext>
          </a:extLst>
        </xdr:cNvPr>
        <xdr:cNvSpPr/>
      </xdr:nvSpPr>
      <xdr:spPr>
        <a:xfrm>
          <a:off x="6684433" y="2247900"/>
          <a:ext cx="4618567" cy="3098800"/>
        </a:xfrm>
        <a:prstGeom prst="roundRect">
          <a:avLst>
            <a:gd name="adj" fmla="val 7946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rgbClr val="1F386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Revenue Concentration and Churn Rate by Internet Service</a:t>
          </a:r>
        </a:p>
      </xdr:txBody>
    </xdr:sp>
    <xdr:clientData/>
  </xdr:twoCellAnchor>
  <xdr:twoCellAnchor>
    <xdr:from>
      <xdr:col>14</xdr:col>
      <xdr:colOff>105833</xdr:colOff>
      <xdr:row>11</xdr:row>
      <xdr:rowOff>25400</xdr:rowOff>
    </xdr:from>
    <xdr:to>
      <xdr:col>19</xdr:col>
      <xdr:colOff>660400</xdr:colOff>
      <xdr:row>26</xdr:row>
      <xdr:rowOff>63500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0FD0158B-7C5A-DC4C-BBB9-0A8B5AE009FF}"/>
            </a:ext>
          </a:extLst>
        </xdr:cNvPr>
        <xdr:cNvSpPr/>
      </xdr:nvSpPr>
      <xdr:spPr>
        <a:xfrm>
          <a:off x="11485033" y="2260600"/>
          <a:ext cx="4618567" cy="3086100"/>
        </a:xfrm>
        <a:prstGeom prst="roundRect">
          <a:avLst>
            <a:gd name="adj" fmla="val 7946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rgbClr val="1F386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High-Risk vs Standard Customer Churn</a:t>
          </a:r>
        </a:p>
      </xdr:txBody>
    </xdr:sp>
    <xdr:clientData/>
  </xdr:twoCellAnchor>
  <xdr:twoCellAnchor>
    <xdr:from>
      <xdr:col>8</xdr:col>
      <xdr:colOff>171360</xdr:colOff>
      <xdr:row>5</xdr:row>
      <xdr:rowOff>3736</xdr:rowOff>
    </xdr:from>
    <xdr:to>
      <xdr:col>13</xdr:col>
      <xdr:colOff>723900</xdr:colOff>
      <xdr:row>10</xdr:row>
      <xdr:rowOff>0</xdr:rowOff>
    </xdr:to>
    <xdr:sp macro="" textlink="KPI_Framework!C13">
      <xdr:nvSpPr>
        <xdr:cNvPr id="33" name="Rounded Rectangle 32">
          <a:extLst>
            <a:ext uri="{FF2B5EF4-FFF2-40B4-BE49-F238E27FC236}">
              <a16:creationId xmlns:a16="http://schemas.microsoft.com/office/drawing/2014/main" id="{AABB506C-1036-1A45-92F4-DF972B67A25A}"/>
            </a:ext>
          </a:extLst>
        </xdr:cNvPr>
        <xdr:cNvSpPr/>
      </xdr:nvSpPr>
      <xdr:spPr>
        <a:xfrm>
          <a:off x="6673760" y="1019736"/>
          <a:ext cx="4616540" cy="1012264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3CE810BC-5492-C149-A623-0808850F0887}" type="TxLink"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62.11%</a:t>
          </a:fld>
          <a:endParaRPr lang="en-US" sz="3600" b="1" i="0" u="none" strike="noStrike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l"/>
          <a:r>
            <a:rPr lang="en-NG" sz="1100" b="1" i="0" u="none" strike="noStrike">
              <a:solidFill>
                <a:srgbClr val="A9B4C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⚠ Fiber revenue share</a:t>
          </a:r>
          <a:endParaRPr lang="en-NG" sz="3600" b="1" i="0" u="none" strike="noStrike">
            <a:solidFill>
              <a:srgbClr val="A9B4C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95160</xdr:colOff>
      <xdr:row>5</xdr:row>
      <xdr:rowOff>3736</xdr:rowOff>
    </xdr:from>
    <xdr:to>
      <xdr:col>19</xdr:col>
      <xdr:colOff>685800</xdr:colOff>
      <xdr:row>10</xdr:row>
      <xdr:rowOff>0</xdr:rowOff>
    </xdr:to>
    <xdr:sp macro="" textlink="KPI_Framework!C14">
      <xdr:nvSpPr>
        <xdr:cNvPr id="34" name="Rounded Rectangle 33">
          <a:extLst>
            <a:ext uri="{FF2B5EF4-FFF2-40B4-BE49-F238E27FC236}">
              <a16:creationId xmlns:a16="http://schemas.microsoft.com/office/drawing/2014/main" id="{C8375C83-26C2-7A44-BC74-A445EDE2B0B3}"/>
            </a:ext>
          </a:extLst>
        </xdr:cNvPr>
        <xdr:cNvSpPr/>
      </xdr:nvSpPr>
      <xdr:spPr>
        <a:xfrm>
          <a:off x="11474360" y="1019736"/>
          <a:ext cx="4654640" cy="1012264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5E0FD62F-5010-6342-8ED6-0E830DC901B3}" type="TxLink"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814</a:t>
          </a:fld>
          <a:endParaRPr lang="en-US" sz="3600" b="1" i="0" u="none" strike="noStrike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l"/>
          <a:r>
            <a:rPr lang="en-GB" sz="1100" b="1" i="0" u="none" strike="noStrike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⚠ High-risk customers</a:t>
          </a:r>
          <a:endParaRPr lang="en-NG" sz="1100" b="1" i="0" u="none" strike="noStrike">
            <a:solidFill>
              <a:srgbClr val="A9B4C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309033</xdr:colOff>
      <xdr:row>12</xdr:row>
      <xdr:rowOff>152400</xdr:rowOff>
    </xdr:from>
    <xdr:to>
      <xdr:col>7</xdr:col>
      <xdr:colOff>673100</xdr:colOff>
      <xdr:row>26</xdr:row>
      <xdr:rowOff>50800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AFCA7A2-FF20-0247-AF72-364C3099E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251883</xdr:colOff>
      <xdr:row>12</xdr:row>
      <xdr:rowOff>88900</xdr:rowOff>
    </xdr:from>
    <xdr:to>
      <xdr:col>13</xdr:col>
      <xdr:colOff>759883</xdr:colOff>
      <xdr:row>25</xdr:row>
      <xdr:rowOff>190500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3A4919-F910-B34F-9FEC-D3A191341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194733</xdr:colOff>
      <xdr:row>12</xdr:row>
      <xdr:rowOff>76200</xdr:rowOff>
    </xdr:from>
    <xdr:to>
      <xdr:col>19</xdr:col>
      <xdr:colOff>702733</xdr:colOff>
      <xdr:row>25</xdr:row>
      <xdr:rowOff>177800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5F795F4-202B-3548-A33D-5BA9E07E2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36</xdr:row>
      <xdr:rowOff>91440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68C575-9CC3-8243-8F5E-F836BF031877}"/>
            </a:ext>
          </a:extLst>
        </xdr:cNvPr>
        <xdr:cNvSpPr/>
      </xdr:nvSpPr>
      <xdr:spPr>
        <a:xfrm>
          <a:off x="0" y="0"/>
          <a:ext cx="1625600" cy="7406640"/>
        </a:xfrm>
        <a:prstGeom prst="rect">
          <a:avLst/>
        </a:prstGeom>
        <a:solidFill>
          <a:srgbClr val="1F3864"/>
        </a:solidFill>
        <a:ln w="19050" cap="flat" cmpd="sng" algn="ctr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446617</xdr:colOff>
      <xdr:row>2</xdr:row>
      <xdr:rowOff>80433</xdr:rowOff>
    </xdr:from>
    <xdr:to>
      <xdr:col>1</xdr:col>
      <xdr:colOff>370417</xdr:colOff>
      <xdr:row>5</xdr:row>
      <xdr:rowOff>156632</xdr:rowOff>
    </xdr:to>
    <xdr:grpSp>
      <xdr:nvGrpSpPr>
        <xdr:cNvPr id="3" name="Group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2C5048-1A28-A44F-B304-F3393C0A62C4}"/>
            </a:ext>
          </a:extLst>
        </xdr:cNvPr>
        <xdr:cNvGrpSpPr/>
      </xdr:nvGrpSpPr>
      <xdr:grpSpPr>
        <a:xfrm>
          <a:off x="446617" y="475544"/>
          <a:ext cx="742244" cy="668866"/>
          <a:chOff x="853017" y="503766"/>
          <a:chExt cx="800100" cy="685799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43268861-97EC-B20F-8F36-74A698BA3CE0}"/>
              </a:ext>
            </a:extLst>
          </xdr:cNvPr>
          <xdr:cNvSpPr/>
        </xdr:nvSpPr>
        <xdr:spPr>
          <a:xfrm>
            <a:off x="853017" y="503766"/>
            <a:ext cx="800100" cy="417194"/>
          </a:xfrm>
          <a:custGeom>
            <a:avLst/>
            <a:gdLst>
              <a:gd name="csX0" fmla="*/ 628650 w 800100"/>
              <a:gd name="csY0" fmla="*/ 217170 h 417194"/>
              <a:gd name="csX1" fmla="*/ 628650 w 800100"/>
              <a:gd name="csY1" fmla="*/ 57150 h 417194"/>
              <a:gd name="csX2" fmla="*/ 552450 w 800100"/>
              <a:gd name="csY2" fmla="*/ 57150 h 417194"/>
              <a:gd name="csX3" fmla="*/ 552450 w 800100"/>
              <a:gd name="csY3" fmla="*/ 144780 h 417194"/>
              <a:gd name="csX4" fmla="*/ 400050 w 800100"/>
              <a:gd name="csY4" fmla="*/ 0 h 417194"/>
              <a:gd name="csX5" fmla="*/ 400050 w 800100"/>
              <a:gd name="csY5" fmla="*/ 0 h 417194"/>
              <a:gd name="csX6" fmla="*/ 0 w 800100"/>
              <a:gd name="csY6" fmla="*/ 381000 h 417194"/>
              <a:gd name="csX7" fmla="*/ 42863 w 800100"/>
              <a:gd name="csY7" fmla="*/ 417195 h 417194"/>
              <a:gd name="csX8" fmla="*/ 400050 w 800100"/>
              <a:gd name="csY8" fmla="*/ 78105 h 417194"/>
              <a:gd name="csX9" fmla="*/ 400050 w 800100"/>
              <a:gd name="csY9" fmla="*/ 78105 h 417194"/>
              <a:gd name="csX10" fmla="*/ 757238 w 800100"/>
              <a:gd name="csY10" fmla="*/ 417195 h 417194"/>
              <a:gd name="csX11" fmla="*/ 800100 w 800100"/>
              <a:gd name="csY11" fmla="*/ 381000 h 41719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</a:cxnLst>
            <a:rect l="l" t="t" r="r" b="b"/>
            <a:pathLst>
              <a:path w="800100" h="417194">
                <a:moveTo>
                  <a:pt x="628650" y="217170"/>
                </a:moveTo>
                <a:lnTo>
                  <a:pt x="628650" y="57150"/>
                </a:lnTo>
                <a:lnTo>
                  <a:pt x="552450" y="57150"/>
                </a:lnTo>
                <a:lnTo>
                  <a:pt x="552450" y="144780"/>
                </a:lnTo>
                <a:lnTo>
                  <a:pt x="400050" y="0"/>
                </a:lnTo>
                <a:lnTo>
                  <a:pt x="400050" y="0"/>
                </a:lnTo>
                <a:lnTo>
                  <a:pt x="0" y="381000"/>
                </a:lnTo>
                <a:lnTo>
                  <a:pt x="42863" y="417195"/>
                </a:lnTo>
                <a:lnTo>
                  <a:pt x="400050" y="78105"/>
                </a:lnTo>
                <a:lnTo>
                  <a:pt x="400050" y="78105"/>
                </a:lnTo>
                <a:lnTo>
                  <a:pt x="757238" y="417195"/>
                </a:lnTo>
                <a:lnTo>
                  <a:pt x="800100" y="381000"/>
                </a:lnTo>
                <a:close/>
              </a:path>
            </a:pathLst>
          </a:custGeom>
          <a:solidFill>
            <a:srgbClr val="C00000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780AE5CC-B3DF-D390-A74B-8E74182C8F06}"/>
              </a:ext>
            </a:extLst>
          </xdr:cNvPr>
          <xdr:cNvSpPr/>
        </xdr:nvSpPr>
        <xdr:spPr>
          <a:xfrm>
            <a:off x="967317" y="635210"/>
            <a:ext cx="571500" cy="554355"/>
          </a:xfrm>
          <a:custGeom>
            <a:avLst/>
            <a:gdLst>
              <a:gd name="csX0" fmla="*/ 0 w 571500"/>
              <a:gd name="csY0" fmla="*/ 271463 h 554355"/>
              <a:gd name="csX1" fmla="*/ 0 w 571500"/>
              <a:gd name="csY1" fmla="*/ 554355 h 554355"/>
              <a:gd name="csX2" fmla="*/ 228600 w 571500"/>
              <a:gd name="csY2" fmla="*/ 554355 h 554355"/>
              <a:gd name="csX3" fmla="*/ 228600 w 571500"/>
              <a:gd name="csY3" fmla="*/ 316230 h 554355"/>
              <a:gd name="csX4" fmla="*/ 342900 w 571500"/>
              <a:gd name="csY4" fmla="*/ 316230 h 554355"/>
              <a:gd name="csX5" fmla="*/ 342900 w 571500"/>
              <a:gd name="csY5" fmla="*/ 554355 h 554355"/>
              <a:gd name="csX6" fmla="*/ 571500 w 571500"/>
              <a:gd name="csY6" fmla="*/ 554355 h 554355"/>
              <a:gd name="csX7" fmla="*/ 571500 w 571500"/>
              <a:gd name="csY7" fmla="*/ 271463 h 554355"/>
              <a:gd name="csX8" fmla="*/ 285750 w 571500"/>
              <a:gd name="csY8" fmla="*/ 0 h 554355"/>
              <a:gd name="csX9" fmla="*/ 0 w 571500"/>
              <a:gd name="csY9" fmla="*/ 271463 h 554355"/>
              <a:gd name="csX10" fmla="*/ 171450 w 571500"/>
              <a:gd name="csY10" fmla="*/ 430530 h 554355"/>
              <a:gd name="csX11" fmla="*/ 57150 w 571500"/>
              <a:gd name="csY11" fmla="*/ 430530 h 554355"/>
              <a:gd name="csX12" fmla="*/ 57150 w 571500"/>
              <a:gd name="csY12" fmla="*/ 316230 h 554355"/>
              <a:gd name="csX13" fmla="*/ 171450 w 571500"/>
              <a:gd name="csY13" fmla="*/ 316230 h 554355"/>
              <a:gd name="csX14" fmla="*/ 171450 w 571500"/>
              <a:gd name="csY14" fmla="*/ 430530 h 554355"/>
              <a:gd name="csX15" fmla="*/ 400050 w 571500"/>
              <a:gd name="csY15" fmla="*/ 316230 h 554355"/>
              <a:gd name="csX16" fmla="*/ 514350 w 571500"/>
              <a:gd name="csY16" fmla="*/ 316230 h 554355"/>
              <a:gd name="csX17" fmla="*/ 514350 w 571500"/>
              <a:gd name="csY17" fmla="*/ 430530 h 554355"/>
              <a:gd name="csX18" fmla="*/ 400050 w 571500"/>
              <a:gd name="csY18" fmla="*/ 430530 h 554355"/>
              <a:gd name="csX19" fmla="*/ 400050 w 571500"/>
              <a:gd name="csY19" fmla="*/ 316230 h 5543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571500" h="554355">
                <a:moveTo>
                  <a:pt x="0" y="271463"/>
                </a:moveTo>
                <a:lnTo>
                  <a:pt x="0" y="554355"/>
                </a:lnTo>
                <a:lnTo>
                  <a:pt x="228600" y="554355"/>
                </a:lnTo>
                <a:lnTo>
                  <a:pt x="228600" y="316230"/>
                </a:lnTo>
                <a:lnTo>
                  <a:pt x="342900" y="316230"/>
                </a:lnTo>
                <a:lnTo>
                  <a:pt x="342900" y="554355"/>
                </a:lnTo>
                <a:lnTo>
                  <a:pt x="571500" y="554355"/>
                </a:lnTo>
                <a:lnTo>
                  <a:pt x="571500" y="271463"/>
                </a:lnTo>
                <a:lnTo>
                  <a:pt x="285750" y="0"/>
                </a:lnTo>
                <a:lnTo>
                  <a:pt x="0" y="271463"/>
                </a:lnTo>
                <a:close/>
                <a:moveTo>
                  <a:pt x="171450" y="430530"/>
                </a:moveTo>
                <a:lnTo>
                  <a:pt x="57150" y="430530"/>
                </a:lnTo>
                <a:lnTo>
                  <a:pt x="57150" y="316230"/>
                </a:lnTo>
                <a:lnTo>
                  <a:pt x="171450" y="316230"/>
                </a:lnTo>
                <a:lnTo>
                  <a:pt x="171450" y="430530"/>
                </a:lnTo>
                <a:close/>
                <a:moveTo>
                  <a:pt x="400050" y="316230"/>
                </a:moveTo>
                <a:lnTo>
                  <a:pt x="514350" y="316230"/>
                </a:lnTo>
                <a:lnTo>
                  <a:pt x="514350" y="430530"/>
                </a:lnTo>
                <a:lnTo>
                  <a:pt x="400050" y="430530"/>
                </a:lnTo>
                <a:lnTo>
                  <a:pt x="400050" y="316230"/>
                </a:lnTo>
                <a:close/>
              </a:path>
            </a:pathLst>
          </a:custGeom>
          <a:solidFill>
            <a:srgbClr val="E97132">
              <a:lumMod val="20000"/>
              <a:lumOff val="80000"/>
            </a:srgbClr>
          </a:solidFill>
          <a:ln w="9525" cap="flat">
            <a:noFill/>
            <a:prstDash val="solid"/>
            <a:miter/>
          </a:ln>
        </xdr:spPr>
      </xdr:sp>
    </xdr:grpSp>
    <xdr:clientData/>
  </xdr:twoCellAnchor>
  <xdr:twoCellAnchor>
    <xdr:from>
      <xdr:col>0</xdr:col>
      <xdr:colOff>355602</xdr:colOff>
      <xdr:row>8</xdr:row>
      <xdr:rowOff>16933</xdr:rowOff>
    </xdr:from>
    <xdr:to>
      <xdr:col>1</xdr:col>
      <xdr:colOff>457202</xdr:colOff>
      <xdr:row>12</xdr:row>
      <xdr:rowOff>118533</xdr:rowOff>
    </xdr:to>
    <xdr:pic>
      <xdr:nvPicPr>
        <xdr:cNvPr id="6" name="Graphic 5" descr="User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5C807B-7638-A544-B691-4D4D26439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55602" y="1642533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444496</xdr:colOff>
      <xdr:row>14</xdr:row>
      <xdr:rowOff>138854</xdr:rowOff>
    </xdr:from>
    <xdr:to>
      <xdr:col>1</xdr:col>
      <xdr:colOff>368296</xdr:colOff>
      <xdr:row>17</xdr:row>
      <xdr:rowOff>169334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F0D6B91-4C75-5845-87CF-77F9668C9D53}"/>
            </a:ext>
          </a:extLst>
        </xdr:cNvPr>
        <xdr:cNvGrpSpPr/>
      </xdr:nvGrpSpPr>
      <xdr:grpSpPr>
        <a:xfrm>
          <a:off x="444496" y="2904632"/>
          <a:ext cx="742244" cy="623146"/>
          <a:chOff x="850900" y="2979669"/>
          <a:chExt cx="838200" cy="635598"/>
        </a:xfrm>
      </xdr:grpSpPr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E405613C-59B4-CFDD-EB35-3F22A397C7A9}"/>
              </a:ext>
            </a:extLst>
          </xdr:cNvPr>
          <xdr:cNvSpPr/>
        </xdr:nvSpPr>
        <xdr:spPr>
          <a:xfrm>
            <a:off x="850900" y="3235761"/>
            <a:ext cx="838200" cy="379506"/>
          </a:xfrm>
          <a:custGeom>
            <a:avLst/>
            <a:gdLst>
              <a:gd name="csX0" fmla="*/ 781050 w 838200"/>
              <a:gd name="csY0" fmla="*/ 295275 h 381000"/>
              <a:gd name="csX1" fmla="*/ 752475 w 838200"/>
              <a:gd name="csY1" fmla="*/ 323850 h 381000"/>
              <a:gd name="csX2" fmla="*/ 95250 w 838200"/>
              <a:gd name="csY2" fmla="*/ 323850 h 381000"/>
              <a:gd name="csX3" fmla="*/ 57150 w 838200"/>
              <a:gd name="csY3" fmla="*/ 285750 h 381000"/>
              <a:gd name="csX4" fmla="*/ 57150 w 838200"/>
              <a:gd name="csY4" fmla="*/ 95250 h 381000"/>
              <a:gd name="csX5" fmla="*/ 95250 w 838200"/>
              <a:gd name="csY5" fmla="*/ 57150 h 381000"/>
              <a:gd name="csX6" fmla="*/ 752475 w 838200"/>
              <a:gd name="csY6" fmla="*/ 57150 h 381000"/>
              <a:gd name="csX7" fmla="*/ 781050 w 838200"/>
              <a:gd name="csY7" fmla="*/ 85725 h 381000"/>
              <a:gd name="csX8" fmla="*/ 781050 w 838200"/>
              <a:gd name="csY8" fmla="*/ 295275 h 381000"/>
              <a:gd name="csX9" fmla="*/ 0 w 838200"/>
              <a:gd name="csY9" fmla="*/ 0 h 381000"/>
              <a:gd name="csX10" fmla="*/ 0 w 838200"/>
              <a:gd name="csY10" fmla="*/ 381000 h 381000"/>
              <a:gd name="csX11" fmla="*/ 838200 w 838200"/>
              <a:gd name="csY11" fmla="*/ 381000 h 381000"/>
              <a:gd name="csX12" fmla="*/ 838200 w 838200"/>
              <a:gd name="csY12" fmla="*/ 0 h 381000"/>
              <a:gd name="csX13" fmla="*/ 0 w 838200"/>
              <a:gd name="csY13" fmla="*/ 0 h 38100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</a:cxnLst>
            <a:rect l="l" t="t" r="r" b="b"/>
            <a:pathLst>
              <a:path w="838200" h="381000">
                <a:moveTo>
                  <a:pt x="781050" y="295275"/>
                </a:moveTo>
                <a:lnTo>
                  <a:pt x="752475" y="323850"/>
                </a:lnTo>
                <a:lnTo>
                  <a:pt x="95250" y="323850"/>
                </a:lnTo>
                <a:lnTo>
                  <a:pt x="57150" y="285750"/>
                </a:lnTo>
                <a:lnTo>
                  <a:pt x="57150" y="95250"/>
                </a:lnTo>
                <a:lnTo>
                  <a:pt x="95250" y="57150"/>
                </a:lnTo>
                <a:lnTo>
                  <a:pt x="752475" y="57150"/>
                </a:lnTo>
                <a:lnTo>
                  <a:pt x="781050" y="85725"/>
                </a:lnTo>
                <a:lnTo>
                  <a:pt x="781050" y="295275"/>
                </a:lnTo>
                <a:close/>
                <a:moveTo>
                  <a:pt x="0" y="0"/>
                </a:moveTo>
                <a:lnTo>
                  <a:pt x="0" y="381000"/>
                </a:lnTo>
                <a:lnTo>
                  <a:pt x="838200" y="381000"/>
                </a:lnTo>
                <a:lnTo>
                  <a:pt x="838200" y="0"/>
                </a:lnTo>
                <a:lnTo>
                  <a:pt x="0" y="0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B8710ECE-7648-0FE6-44B5-9090BDB331B8}"/>
              </a:ext>
            </a:extLst>
          </xdr:cNvPr>
          <xdr:cNvSpPr/>
        </xdr:nvSpPr>
        <xdr:spPr>
          <a:xfrm>
            <a:off x="1193800" y="3331011"/>
            <a:ext cx="152400" cy="189006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28A9F9D3-7412-AB6C-1482-597673CB4B12}"/>
              </a:ext>
            </a:extLst>
          </xdr:cNvPr>
          <xdr:cNvSpPr/>
        </xdr:nvSpPr>
        <xdr:spPr>
          <a:xfrm>
            <a:off x="1003300" y="3397686"/>
            <a:ext cx="57150" cy="55656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57614192-0D24-3378-511A-22C41B995EA8}"/>
              </a:ext>
            </a:extLst>
          </xdr:cNvPr>
          <xdr:cNvSpPr/>
        </xdr:nvSpPr>
        <xdr:spPr>
          <a:xfrm>
            <a:off x="1479550" y="3397686"/>
            <a:ext cx="57150" cy="55656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81D5F55F-4C7A-D320-6985-017FDCE23801}"/>
              </a:ext>
            </a:extLst>
          </xdr:cNvPr>
          <xdr:cNvSpPr/>
        </xdr:nvSpPr>
        <xdr:spPr>
          <a:xfrm>
            <a:off x="959484" y="2979669"/>
            <a:ext cx="552450" cy="208055"/>
          </a:xfrm>
          <a:custGeom>
            <a:avLst/>
            <a:gdLst>
              <a:gd name="csX0" fmla="*/ 481013 w 552450"/>
              <a:gd name="csY0" fmla="*/ 75248 h 209549"/>
              <a:gd name="csX1" fmla="*/ 495300 w 552450"/>
              <a:gd name="csY1" fmla="*/ 111443 h 209549"/>
              <a:gd name="csX2" fmla="*/ 552450 w 552450"/>
              <a:gd name="csY2" fmla="*/ 100012 h 209549"/>
              <a:gd name="csX3" fmla="*/ 512445 w 552450"/>
              <a:gd name="csY3" fmla="*/ 0 h 209549"/>
              <a:gd name="csX4" fmla="*/ 0 w 552450"/>
              <a:gd name="csY4" fmla="*/ 209550 h 209549"/>
              <a:gd name="csX5" fmla="*/ 293370 w 552450"/>
              <a:gd name="csY5" fmla="*/ 151448 h 20954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552450" h="209549">
                <a:moveTo>
                  <a:pt x="481013" y="75248"/>
                </a:moveTo>
                <a:lnTo>
                  <a:pt x="495300" y="111443"/>
                </a:lnTo>
                <a:lnTo>
                  <a:pt x="552450" y="100012"/>
                </a:lnTo>
                <a:lnTo>
                  <a:pt x="512445" y="0"/>
                </a:lnTo>
                <a:lnTo>
                  <a:pt x="0" y="209550"/>
                </a:lnTo>
                <a:lnTo>
                  <a:pt x="293370" y="151448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3" name="Freeform 12">
            <a:extLst>
              <a:ext uri="{FF2B5EF4-FFF2-40B4-BE49-F238E27FC236}">
                <a16:creationId xmlns:a16="http://schemas.microsoft.com/office/drawing/2014/main" id="{F5D5BDD1-B8F5-EC83-6556-A8BB1BD76AD0}"/>
              </a:ext>
            </a:extLst>
          </xdr:cNvPr>
          <xdr:cNvSpPr/>
        </xdr:nvSpPr>
        <xdr:spPr>
          <a:xfrm>
            <a:off x="1098550" y="3101999"/>
            <a:ext cx="507682" cy="97155"/>
          </a:xfrm>
          <a:custGeom>
            <a:avLst/>
            <a:gdLst>
              <a:gd name="csX0" fmla="*/ 292418 w 507682"/>
              <a:gd name="csY0" fmla="*/ 97155 h 97155"/>
              <a:gd name="csX1" fmla="*/ 442913 w 507682"/>
              <a:gd name="csY1" fmla="*/ 67628 h 97155"/>
              <a:gd name="csX2" fmla="*/ 449580 w 507682"/>
              <a:gd name="csY2" fmla="*/ 97155 h 97155"/>
              <a:gd name="csX3" fmla="*/ 507683 w 507682"/>
              <a:gd name="csY3" fmla="*/ 97155 h 97155"/>
              <a:gd name="csX4" fmla="*/ 488633 w 507682"/>
              <a:gd name="csY4" fmla="*/ 0 h 97155"/>
              <a:gd name="csX5" fmla="*/ 0 w 507682"/>
              <a:gd name="csY5" fmla="*/ 97155 h 971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507682" h="97155">
                <a:moveTo>
                  <a:pt x="292418" y="97155"/>
                </a:moveTo>
                <a:lnTo>
                  <a:pt x="442913" y="67628"/>
                </a:lnTo>
                <a:lnTo>
                  <a:pt x="449580" y="97155"/>
                </a:lnTo>
                <a:lnTo>
                  <a:pt x="507683" y="97155"/>
                </a:lnTo>
                <a:lnTo>
                  <a:pt x="488633" y="0"/>
                </a:lnTo>
                <a:lnTo>
                  <a:pt x="0" y="97155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</xdr:grpSp>
    <xdr:clientData/>
  </xdr:twoCellAnchor>
  <xdr:twoCellAnchor>
    <xdr:from>
      <xdr:col>0</xdr:col>
      <xdr:colOff>402055</xdr:colOff>
      <xdr:row>21</xdr:row>
      <xdr:rowOff>78078</xdr:rowOff>
    </xdr:from>
    <xdr:to>
      <xdr:col>1</xdr:col>
      <xdr:colOff>347246</xdr:colOff>
      <xdr:row>24</xdr:row>
      <xdr:rowOff>192616</xdr:rowOff>
    </xdr:to>
    <xdr:sp macro="" textlink="">
      <xdr:nvSpPr>
        <xdr:cNvPr id="14" name="Graphic 8" descr="Warning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C0C751-4034-6540-9D07-393182005759}"/>
            </a:ext>
          </a:extLst>
        </xdr:cNvPr>
        <xdr:cNvSpPr/>
      </xdr:nvSpPr>
      <xdr:spPr>
        <a:xfrm>
          <a:off x="402055" y="4345278"/>
          <a:ext cx="757991" cy="724138"/>
        </a:xfrm>
        <a:custGeom>
          <a:avLst/>
          <a:gdLst>
            <a:gd name="csX0" fmla="*/ 816511 w 821491"/>
            <a:gd name="csY0" fmla="*/ 666988 h 724138"/>
            <a:gd name="csX1" fmla="*/ 444083 w 821491"/>
            <a:gd name="csY1" fmla="*/ 19288 h 724138"/>
            <a:gd name="csX2" fmla="*/ 378361 w 821491"/>
            <a:gd name="csY2" fmla="*/ 19288 h 724138"/>
            <a:gd name="csX3" fmla="*/ 4981 w 821491"/>
            <a:gd name="csY3" fmla="*/ 666988 h 724138"/>
            <a:gd name="csX4" fmla="*/ 38318 w 821491"/>
            <a:gd name="csY4" fmla="*/ 724138 h 724138"/>
            <a:gd name="csX5" fmla="*/ 410746 w 821491"/>
            <a:gd name="csY5" fmla="*/ 724138 h 724138"/>
            <a:gd name="csX6" fmla="*/ 783173 w 821491"/>
            <a:gd name="csY6" fmla="*/ 724138 h 724138"/>
            <a:gd name="csX7" fmla="*/ 816511 w 821491"/>
            <a:gd name="csY7" fmla="*/ 666988 h 724138"/>
            <a:gd name="csX8" fmla="*/ 382171 w 821491"/>
            <a:gd name="csY8" fmla="*/ 171688 h 724138"/>
            <a:gd name="csX9" fmla="*/ 439321 w 821491"/>
            <a:gd name="csY9" fmla="*/ 171688 h 724138"/>
            <a:gd name="csX10" fmla="*/ 439321 w 821491"/>
            <a:gd name="csY10" fmla="*/ 505063 h 724138"/>
            <a:gd name="csX11" fmla="*/ 382171 w 821491"/>
            <a:gd name="csY11" fmla="*/ 505063 h 724138"/>
            <a:gd name="csX12" fmla="*/ 382171 w 821491"/>
            <a:gd name="csY12" fmla="*/ 171688 h 724138"/>
            <a:gd name="csX13" fmla="*/ 410746 w 821491"/>
            <a:gd name="csY13" fmla="*/ 638413 h 724138"/>
            <a:gd name="csX14" fmla="*/ 363121 w 821491"/>
            <a:gd name="csY14" fmla="*/ 590788 h 724138"/>
            <a:gd name="csX15" fmla="*/ 410746 w 821491"/>
            <a:gd name="csY15" fmla="*/ 543163 h 724138"/>
            <a:gd name="csX16" fmla="*/ 458371 w 821491"/>
            <a:gd name="csY16" fmla="*/ 590788 h 724138"/>
            <a:gd name="csX17" fmla="*/ 410746 w 821491"/>
            <a:gd name="csY17" fmla="*/ 638413 h 7241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</a:cxnLst>
          <a:rect l="l" t="t" r="r" b="b"/>
          <a:pathLst>
            <a:path w="821491" h="724138">
              <a:moveTo>
                <a:pt x="816511" y="666988"/>
              </a:moveTo>
              <a:lnTo>
                <a:pt x="444083" y="19288"/>
              </a:lnTo>
              <a:cubicBezTo>
                <a:pt x="429796" y="-6429"/>
                <a:pt x="392648" y="-6429"/>
                <a:pt x="378361" y="19288"/>
              </a:cubicBezTo>
              <a:lnTo>
                <a:pt x="4981" y="666988"/>
              </a:lnTo>
              <a:cubicBezTo>
                <a:pt x="-9307" y="692706"/>
                <a:pt x="8791" y="724138"/>
                <a:pt x="38318" y="724138"/>
              </a:cubicBezTo>
              <a:lnTo>
                <a:pt x="410746" y="724138"/>
              </a:lnTo>
              <a:lnTo>
                <a:pt x="783173" y="724138"/>
              </a:lnTo>
              <a:cubicBezTo>
                <a:pt x="812701" y="724138"/>
                <a:pt x="830798" y="692706"/>
                <a:pt x="816511" y="666988"/>
              </a:cubicBezTo>
              <a:close/>
              <a:moveTo>
                <a:pt x="382171" y="171688"/>
              </a:moveTo>
              <a:lnTo>
                <a:pt x="439321" y="171688"/>
              </a:lnTo>
              <a:lnTo>
                <a:pt x="439321" y="505063"/>
              </a:lnTo>
              <a:lnTo>
                <a:pt x="382171" y="505063"/>
              </a:lnTo>
              <a:lnTo>
                <a:pt x="382171" y="171688"/>
              </a:lnTo>
              <a:close/>
              <a:moveTo>
                <a:pt x="410746" y="638413"/>
              </a:moveTo>
              <a:cubicBezTo>
                <a:pt x="384076" y="638413"/>
                <a:pt x="363121" y="617458"/>
                <a:pt x="363121" y="590788"/>
              </a:cubicBezTo>
              <a:cubicBezTo>
                <a:pt x="363121" y="564118"/>
                <a:pt x="384076" y="543163"/>
                <a:pt x="410746" y="543163"/>
              </a:cubicBezTo>
              <a:cubicBezTo>
                <a:pt x="437416" y="543163"/>
                <a:pt x="458371" y="564118"/>
                <a:pt x="458371" y="590788"/>
              </a:cubicBezTo>
              <a:cubicBezTo>
                <a:pt x="458371" y="617458"/>
                <a:pt x="437416" y="638413"/>
                <a:pt x="410746" y="638413"/>
              </a:cubicBezTo>
              <a:close/>
            </a:path>
          </a:pathLst>
        </a:custGeom>
        <a:solidFill>
          <a:sysClr val="window" lastClr="FFFFFF"/>
        </a:solidFill>
        <a:ln w="9525" cap="flat">
          <a:noFill/>
          <a:prstDash val="solid"/>
          <a:miter/>
        </a:ln>
      </xdr:spPr>
    </xdr:sp>
    <xdr:clientData/>
  </xdr:twoCellAnchor>
  <xdr:twoCellAnchor>
    <xdr:from>
      <xdr:col>2</xdr:col>
      <xdr:colOff>212727</xdr:colOff>
      <xdr:row>0</xdr:row>
      <xdr:rowOff>177801</xdr:rowOff>
    </xdr:from>
    <xdr:to>
      <xdr:col>19</xdr:col>
      <xdr:colOff>689428</xdr:colOff>
      <xdr:row>4</xdr:row>
      <xdr:rowOff>38100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8BEB4585-8F0C-634C-A895-D7DDA8926BBA}"/>
            </a:ext>
          </a:extLst>
        </xdr:cNvPr>
        <xdr:cNvSpPr/>
      </xdr:nvSpPr>
      <xdr:spPr>
        <a:xfrm>
          <a:off x="1838327" y="177801"/>
          <a:ext cx="14294301" cy="673099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Revenue Stability Analysis — Revenue Lost to Churn, Contract Value &amp; Customer LTV</a:t>
          </a:r>
        </a:p>
      </xdr:txBody>
    </xdr:sp>
    <xdr:clientData/>
  </xdr:twoCellAnchor>
  <xdr:twoCellAnchor>
    <xdr:from>
      <xdr:col>2</xdr:col>
      <xdr:colOff>212725</xdr:colOff>
      <xdr:row>2</xdr:row>
      <xdr:rowOff>136769</xdr:rowOff>
    </xdr:from>
    <xdr:to>
      <xdr:col>19</xdr:col>
      <xdr:colOff>689428</xdr:colOff>
      <xdr:row>4</xdr:row>
      <xdr:rowOff>39077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10C6877-83C7-BA40-9A4C-99A6B3BA0B3C}"/>
            </a:ext>
          </a:extLst>
        </xdr:cNvPr>
        <xdr:cNvSpPr/>
      </xdr:nvSpPr>
      <xdr:spPr>
        <a:xfrm>
          <a:off x="1838325" y="543169"/>
          <a:ext cx="14294303" cy="308708"/>
        </a:xfrm>
        <a:prstGeom prst="rect">
          <a:avLst/>
        </a:prstGeom>
        <a:solidFill>
          <a:srgbClr val="DAE3F3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900" i="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Revenue pillar · Total monthly charges £456K · 30.5% lost to churn · £1.67M a year</a:t>
          </a:r>
        </a:p>
      </xdr:txBody>
    </xdr:sp>
    <xdr:clientData/>
  </xdr:twoCellAnchor>
  <xdr:twoCellAnchor>
    <xdr:from>
      <xdr:col>2</xdr:col>
      <xdr:colOff>247560</xdr:colOff>
      <xdr:row>5</xdr:row>
      <xdr:rowOff>3736</xdr:rowOff>
    </xdr:from>
    <xdr:to>
      <xdr:col>7</xdr:col>
      <xdr:colOff>800100</xdr:colOff>
      <xdr:row>10</xdr:row>
      <xdr:rowOff>0</xdr:rowOff>
    </xdr:to>
    <xdr:sp macro="" textlink="KPI_Framework!C9">
      <xdr:nvSpPr>
        <xdr:cNvPr id="19" name="Rounded Rectangle 18">
          <a:extLst>
            <a:ext uri="{FF2B5EF4-FFF2-40B4-BE49-F238E27FC236}">
              <a16:creationId xmlns:a16="http://schemas.microsoft.com/office/drawing/2014/main" id="{454AA808-AC75-5F4A-AC2F-2E4AE87BAE27}"/>
            </a:ext>
          </a:extLst>
        </xdr:cNvPr>
        <xdr:cNvSpPr/>
      </xdr:nvSpPr>
      <xdr:spPr>
        <a:xfrm>
          <a:off x="1873160" y="1019736"/>
          <a:ext cx="4616540" cy="1012264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A2002B44-52FA-E341-8DEF-9221DCB8ED35}" type="TxLink">
            <a:rPr lang="en-US" sz="3600" b="1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£139,131</a:t>
          </a:fld>
          <a:endParaRPr lang="en-US" sz="3600" b="1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l"/>
          <a:r>
            <a:rPr lang="en-NG" sz="1100" b="1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💷 </a:t>
          </a:r>
          <a:r>
            <a:rPr lang="en-GB" sz="1100" b="1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revenue lost</a:t>
          </a:r>
        </a:p>
        <a:p>
          <a:pPr marL="0" indent="0" algn="l"/>
          <a:endParaRPr lang="en-NG" sz="3600" b="1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245533</xdr:colOff>
      <xdr:row>11</xdr:row>
      <xdr:rowOff>0</xdr:rowOff>
    </xdr:from>
    <xdr:to>
      <xdr:col>7</xdr:col>
      <xdr:colOff>800100</xdr:colOff>
      <xdr:row>26</xdr:row>
      <xdr:rowOff>63500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35891949-FA41-1375-B5AD-8426025B4E7F}"/>
            </a:ext>
          </a:extLst>
        </xdr:cNvPr>
        <xdr:cNvSpPr/>
      </xdr:nvSpPr>
      <xdr:spPr>
        <a:xfrm>
          <a:off x="1871133" y="2235200"/>
          <a:ext cx="4618567" cy="3111500"/>
        </a:xfrm>
        <a:prstGeom prst="roundRect">
          <a:avLst>
            <a:gd name="adj" fmla="val 7946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rgbClr val="1F386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Revenue Lost vs Retained</a:t>
          </a:r>
        </a:p>
      </xdr:txBody>
    </xdr:sp>
    <xdr:clientData/>
  </xdr:twoCellAnchor>
  <xdr:twoCellAnchor>
    <xdr:from>
      <xdr:col>2</xdr:col>
      <xdr:colOff>292100</xdr:colOff>
      <xdr:row>11</xdr:row>
      <xdr:rowOff>173567</xdr:rowOff>
    </xdr:from>
    <xdr:to>
      <xdr:col>8</xdr:col>
      <xdr:colOff>101596</xdr:colOff>
      <xdr:row>25</xdr:row>
      <xdr:rowOff>38100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52C84A7-85AF-65CB-9A1A-0FD8FC754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194735</xdr:colOff>
      <xdr:row>27</xdr:row>
      <xdr:rowOff>44448</xdr:rowOff>
    </xdr:from>
    <xdr:to>
      <xdr:col>19</xdr:col>
      <xdr:colOff>671438</xdr:colOff>
      <xdr:row>36</xdr:row>
      <xdr:rowOff>54706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A02B3E99-F68A-AD70-922B-E6F6DAC772F0}"/>
            </a:ext>
          </a:extLst>
        </xdr:cNvPr>
        <xdr:cNvGrpSpPr/>
      </xdr:nvGrpSpPr>
      <xdr:grpSpPr>
        <a:xfrm>
          <a:off x="1831624" y="5378448"/>
          <a:ext cx="14390258" cy="1788258"/>
          <a:chOff x="1820335" y="8337548"/>
          <a:chExt cx="14294303" cy="1839058"/>
        </a:xfrm>
      </xdr:grpSpPr>
      <xdr:sp macro="" textlink="">
        <xdr:nvSpPr>
          <xdr:cNvPr id="17" name="Rounded Rectangle 16">
            <a:extLst>
              <a:ext uri="{FF2B5EF4-FFF2-40B4-BE49-F238E27FC236}">
                <a16:creationId xmlns:a16="http://schemas.microsoft.com/office/drawing/2014/main" id="{7611D32C-9203-A144-B096-0F48D81ECC1B}"/>
              </a:ext>
            </a:extLst>
          </xdr:cNvPr>
          <xdr:cNvSpPr/>
        </xdr:nvSpPr>
        <xdr:spPr>
          <a:xfrm>
            <a:off x="1820335" y="8337548"/>
            <a:ext cx="14289616" cy="1835152"/>
          </a:xfrm>
          <a:prstGeom prst="roundRect">
            <a:avLst>
              <a:gd name="adj" fmla="val 7946"/>
            </a:avLst>
          </a:prstGeom>
          <a:solidFill>
            <a:srgbClr val="1F386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525239CD-C80B-694F-A9F9-4183213A25E7}"/>
              </a:ext>
            </a:extLst>
          </xdr:cNvPr>
          <xdr:cNvSpPr txBox="1"/>
        </xdr:nvSpPr>
        <xdr:spPr>
          <a:xfrm>
            <a:off x="2197100" y="8394700"/>
            <a:ext cx="19939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 b="1">
                <a:solidFill>
                  <a:srgbClr val="C9A84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Pillar Findings</a:t>
            </a: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D406F5A-C93F-5A4D-B917-B49979B337F7}"/>
              </a:ext>
            </a:extLst>
          </xdr:cNvPr>
          <xdr:cNvSpPr txBox="1"/>
        </xdr:nvSpPr>
        <xdr:spPr>
          <a:xfrm>
            <a:off x="2184400" y="8661400"/>
            <a:ext cx="6451600" cy="1130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Churned customers were paying £13.17 more per month on average than retained customers (£74.44 vs £61.27).</a:t>
            </a:r>
          </a:p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Customer value increases significantly with contract length, as two-year customers generate 2.7× more average revenue than month-to-month customers.</a:t>
            </a:r>
          </a:p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Churn among two-year customers is especially costly, with an estimated LTV (£5,316) more than five times that of churned month-to-month customers (£1,023).</a:t>
            </a: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88B2E8D9-A51F-CF4B-933B-CD04A0E14389}"/>
              </a:ext>
            </a:extLst>
          </xdr:cNvPr>
          <xdr:cNvSpPr/>
        </xdr:nvSpPr>
        <xdr:spPr>
          <a:xfrm>
            <a:off x="1820335" y="9867898"/>
            <a:ext cx="14294303" cy="308708"/>
          </a:xfrm>
          <a:prstGeom prst="rect">
            <a:avLst/>
          </a:prstGeom>
          <a:solidFill>
            <a:srgbClr val="DAE3F3"/>
          </a:solidFill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800" i="1">
                <a:solidFill>
                  <a:srgbClr val="262626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HarjiiAnalytics · Project 7 · Revenue Pillar</a:t>
            </a: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F1497D13-ED93-F94A-8984-749D651D23A5}"/>
              </a:ext>
            </a:extLst>
          </xdr:cNvPr>
          <xdr:cNvSpPr txBox="1"/>
        </xdr:nvSpPr>
        <xdr:spPr>
          <a:xfrm>
            <a:off x="9160934" y="8413748"/>
            <a:ext cx="2218266" cy="2984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 b="1">
                <a:solidFill>
                  <a:srgbClr val="C9A84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Recommended Actions</a:t>
            </a: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64AAA228-837B-8A43-813E-7D4B577588EE}"/>
              </a:ext>
            </a:extLst>
          </xdr:cNvPr>
          <xdr:cNvSpPr txBox="1"/>
        </xdr:nvSpPr>
        <xdr:spPr>
          <a:xfrm>
            <a:off x="9160935" y="8667748"/>
            <a:ext cx="6451600" cy="1130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Prioritise retention of high-value customers by identifying at-risk accounts before contract renewal.</a:t>
            </a:r>
          </a:p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Increase migration to longer-term contracts through targeted loyalty offers and renewal incentives.</a:t>
            </a:r>
          </a:p>
          <a:p>
            <a:r>
              <a:rPr lang="en-GB" sz="1050">
                <a:solidFill>
                  <a:srgbClr val="A9B4C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• Develop value-based retention strategies for high-LTV customers, including personalised offers and proactive account management.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12700</xdr:colOff>
      <xdr:row>49</xdr:row>
      <xdr:rowOff>101600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8453FF75-3C85-1241-906F-DD792DEEE08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638300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12700</xdr:colOff>
      <xdr:row>49</xdr:row>
      <xdr:rowOff>101600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1B617C80-A0FF-9740-86E3-095A0339CD5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638300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182033</xdr:colOff>
      <xdr:row>11</xdr:row>
      <xdr:rowOff>12700</xdr:rowOff>
    </xdr:from>
    <xdr:to>
      <xdr:col>13</xdr:col>
      <xdr:colOff>736600</xdr:colOff>
      <xdr:row>26</xdr:row>
      <xdr:rowOff>63500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76BC66B4-A762-7146-8F1C-5611B9EEB0E5}"/>
            </a:ext>
          </a:extLst>
        </xdr:cNvPr>
        <xdr:cNvSpPr/>
      </xdr:nvSpPr>
      <xdr:spPr>
        <a:xfrm>
          <a:off x="6684433" y="2247900"/>
          <a:ext cx="4618567" cy="3098800"/>
        </a:xfrm>
        <a:prstGeom prst="roundRect">
          <a:avLst>
            <a:gd name="adj" fmla="val 7946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rgbClr val="1F386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Avg Revenue per Customer by Contract Type</a:t>
          </a:r>
        </a:p>
      </xdr:txBody>
    </xdr:sp>
    <xdr:clientData/>
  </xdr:twoCellAnchor>
  <xdr:twoCellAnchor>
    <xdr:from>
      <xdr:col>14</xdr:col>
      <xdr:colOff>105833</xdr:colOff>
      <xdr:row>11</xdr:row>
      <xdr:rowOff>25400</xdr:rowOff>
    </xdr:from>
    <xdr:to>
      <xdr:col>19</xdr:col>
      <xdr:colOff>660400</xdr:colOff>
      <xdr:row>26</xdr:row>
      <xdr:rowOff>63500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7FF11A63-4839-5E40-9C21-067A877AE05F}"/>
            </a:ext>
          </a:extLst>
        </xdr:cNvPr>
        <xdr:cNvSpPr/>
      </xdr:nvSpPr>
      <xdr:spPr>
        <a:xfrm>
          <a:off x="11485033" y="2260600"/>
          <a:ext cx="4618567" cy="3086100"/>
        </a:xfrm>
        <a:prstGeom prst="roundRect">
          <a:avLst>
            <a:gd name="adj" fmla="val 7946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rgbClr val="1F386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Estimated Customer LTV by Contract Status</a:t>
          </a:r>
        </a:p>
      </xdr:txBody>
    </xdr:sp>
    <xdr:clientData/>
  </xdr:twoCellAnchor>
  <xdr:twoCellAnchor>
    <xdr:from>
      <xdr:col>8</xdr:col>
      <xdr:colOff>258233</xdr:colOff>
      <xdr:row>12</xdr:row>
      <xdr:rowOff>101600</xdr:rowOff>
    </xdr:from>
    <xdr:to>
      <xdr:col>13</xdr:col>
      <xdr:colOff>766233</xdr:colOff>
      <xdr:row>26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DCFC8AD-9F60-0744-B9F3-FB213DC5C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105833</xdr:colOff>
      <xdr:row>12</xdr:row>
      <xdr:rowOff>114300</xdr:rowOff>
    </xdr:from>
    <xdr:to>
      <xdr:col>19</xdr:col>
      <xdr:colOff>571500</xdr:colOff>
      <xdr:row>26</xdr:row>
      <xdr:rowOff>12700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B9D9C14-FE5A-6447-B723-E1BFF2C76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171360</xdr:colOff>
      <xdr:row>5</xdr:row>
      <xdr:rowOff>3736</xdr:rowOff>
    </xdr:from>
    <xdr:to>
      <xdr:col>13</xdr:col>
      <xdr:colOff>723900</xdr:colOff>
      <xdr:row>10</xdr:row>
      <xdr:rowOff>0</xdr:rowOff>
    </xdr:to>
    <xdr:sp macro="" textlink="KPI_Framework!C10">
      <xdr:nvSpPr>
        <xdr:cNvPr id="50" name="Rounded Rectangle 49">
          <a:extLst>
            <a:ext uri="{FF2B5EF4-FFF2-40B4-BE49-F238E27FC236}">
              <a16:creationId xmlns:a16="http://schemas.microsoft.com/office/drawing/2014/main" id="{290FD913-7B8E-D244-8609-2D702CBF5880}"/>
            </a:ext>
          </a:extLst>
        </xdr:cNvPr>
        <xdr:cNvSpPr/>
      </xdr:nvSpPr>
      <xdr:spPr>
        <a:xfrm>
          <a:off x="6673760" y="1019736"/>
          <a:ext cx="4616540" cy="1012264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35965240-AEA7-1E45-A35A-83E3A5D6C81F}" type="TxLink">
            <a:rPr lang="en-US" sz="3600" b="1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30.50%</a:t>
          </a:fld>
          <a:endParaRPr lang="en-US" sz="3600" b="1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G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 </a:t>
          </a:r>
          <a:r>
            <a:rPr lang="en-NG" sz="1100" b="1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Revenue lost to churn</a:t>
          </a:r>
        </a:p>
      </xdr:txBody>
    </xdr:sp>
    <xdr:clientData/>
  </xdr:twoCellAnchor>
  <xdr:twoCellAnchor>
    <xdr:from>
      <xdr:col>14</xdr:col>
      <xdr:colOff>95160</xdr:colOff>
      <xdr:row>5</xdr:row>
      <xdr:rowOff>3736</xdr:rowOff>
    </xdr:from>
    <xdr:to>
      <xdr:col>19</xdr:col>
      <xdr:colOff>685800</xdr:colOff>
      <xdr:row>10</xdr:row>
      <xdr:rowOff>0</xdr:rowOff>
    </xdr:to>
    <xdr:sp macro="" textlink="KPI_Framework!C11">
      <xdr:nvSpPr>
        <xdr:cNvPr id="51" name="Rounded Rectangle 50">
          <a:extLst>
            <a:ext uri="{FF2B5EF4-FFF2-40B4-BE49-F238E27FC236}">
              <a16:creationId xmlns:a16="http://schemas.microsoft.com/office/drawing/2014/main" id="{A94309AD-F878-2145-A50A-F4C6E4BA9428}"/>
            </a:ext>
          </a:extLst>
        </xdr:cNvPr>
        <xdr:cNvSpPr/>
      </xdr:nvSpPr>
      <xdr:spPr>
        <a:xfrm>
          <a:off x="11474360" y="1019736"/>
          <a:ext cx="4654640" cy="1012264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36B4C32E-519C-004F-90BC-2B2AC9A47CC7}" type="TxLink">
            <a:rPr lang="en-US" sz="3600" b="1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£74.44</a:t>
          </a:fld>
          <a:endParaRPr lang="en-US" sz="3600" b="1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l"/>
          <a:r>
            <a:rPr lang="en-GB" sz="1100" b="1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⚠ Average Monthly Charge (Churned Customers)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0.62961</cdr:x>
      <cdr:y>0.6625</cdr:y>
    </cdr:from>
    <cdr:to>
      <cdr:x>0.76772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B59914-640C-F323-F259-D29A00EE4D47}"/>
            </a:ext>
          </a:extLst>
        </cdr:cNvPr>
        <cdr:cNvSpPr txBox="1"/>
      </cdr:nvSpPr>
      <cdr:spPr>
        <a:xfrm xmlns:a="http://schemas.openxmlformats.org/drawingml/2006/main">
          <a:off x="2950548" y="1794933"/>
          <a:ext cx="64722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■</a:t>
          </a:r>
          <a:r>
            <a:rPr lang="en-GB" sz="1100" kern="120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 Lost: £139K</a:t>
          </a:r>
        </a:p>
        <a:p xmlns:a="http://schemas.openxmlformats.org/drawingml/2006/main">
          <a:r>
            <a:rPr lang="en-GB" sz="1100" kern="1200">
              <a:solidFill>
                <a:srgbClr val="1F3864"/>
              </a:solidFill>
              <a:latin typeface="Arial" panose="020B0604020202020204" pitchFamily="34" charset="0"/>
              <a:cs typeface="Arial" panose="020B0604020202020204" pitchFamily="34" charset="0"/>
            </a:rPr>
            <a:t>■</a:t>
          </a:r>
          <a:r>
            <a:rPr lang="en-GB" sz="1100" kern="120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GB" sz="1100" kern="1200">
              <a:latin typeface="Arial" panose="020B0604020202020204" pitchFamily="34" charset="0"/>
              <a:cs typeface="Arial" panose="020B0604020202020204" pitchFamily="34" charset="0"/>
            </a:rPr>
            <a:t>Retained: £316K </a:t>
          </a:r>
        </a:p>
        <a:p xmlns:a="http://schemas.openxmlformats.org/drawingml/2006/main">
          <a:endParaRPr lang="en-GB" sz="11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0.76806</cdr:x>
      <cdr:y>0.76852</cdr:y>
    </cdr:from>
    <cdr:to>
      <cdr:x>0.96806</cdr:x>
      <cdr:y>0.93056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D5CA92-4FC7-1A5E-053C-EF9131EC3575}"/>
            </a:ext>
          </a:extLst>
        </cdr:cNvPr>
        <cdr:cNvSpPr txBox="1"/>
      </cdr:nvSpPr>
      <cdr:spPr>
        <a:xfrm xmlns:a="http://schemas.openxmlformats.org/drawingml/2006/main">
          <a:off x="3511550" y="2108200"/>
          <a:ext cx="9144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■</a:t>
          </a:r>
          <a:r>
            <a:rPr lang="en-GB" sz="1100" kern="120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 Churned</a:t>
          </a:r>
        </a:p>
        <a:p xmlns:a="http://schemas.openxmlformats.org/drawingml/2006/main">
          <a:r>
            <a:rPr lang="en-GB" sz="1100" kern="1200">
              <a:solidFill>
                <a:srgbClr val="1F3864"/>
              </a:solidFill>
              <a:latin typeface="Arial" panose="020B0604020202020204" pitchFamily="34" charset="0"/>
              <a:cs typeface="Arial" panose="020B0604020202020204" pitchFamily="34" charset="0"/>
            </a:rPr>
            <a:t>■</a:t>
          </a:r>
          <a:r>
            <a:rPr lang="en-GB" sz="1100" kern="120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 Retained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89182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57E83-1B6E-DE42-9A40-4754F122C3DC}"/>
            </a:ext>
          </a:extLst>
        </xdr:cNvPr>
        <xdr:cNvSpPr/>
      </xdr:nvSpPr>
      <xdr:spPr>
        <a:xfrm>
          <a:off x="0" y="0"/>
          <a:ext cx="1636889" cy="9966960"/>
        </a:xfrm>
        <a:prstGeom prst="rect">
          <a:avLst/>
        </a:prstGeom>
        <a:solidFill>
          <a:srgbClr val="1F3864"/>
        </a:solidFill>
        <a:ln w="19050" cap="flat" cmpd="sng" algn="ctr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446617</xdr:colOff>
      <xdr:row>2</xdr:row>
      <xdr:rowOff>80433</xdr:rowOff>
    </xdr:from>
    <xdr:to>
      <xdr:col>1</xdr:col>
      <xdr:colOff>370417</xdr:colOff>
      <xdr:row>5</xdr:row>
      <xdr:rowOff>156632</xdr:rowOff>
    </xdr:to>
    <xdr:grpSp>
      <xdr:nvGrpSpPr>
        <xdr:cNvPr id="3" name="Group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CCD953-C05D-784E-A258-065743CD728B}"/>
            </a:ext>
          </a:extLst>
        </xdr:cNvPr>
        <xdr:cNvGrpSpPr/>
      </xdr:nvGrpSpPr>
      <xdr:grpSpPr>
        <a:xfrm>
          <a:off x="446617" y="475544"/>
          <a:ext cx="742244" cy="668866"/>
          <a:chOff x="853017" y="503766"/>
          <a:chExt cx="800100" cy="685799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F410A596-7FEE-32DB-191E-133AEEA7430E}"/>
              </a:ext>
            </a:extLst>
          </xdr:cNvPr>
          <xdr:cNvSpPr/>
        </xdr:nvSpPr>
        <xdr:spPr>
          <a:xfrm>
            <a:off x="853017" y="503766"/>
            <a:ext cx="800100" cy="417194"/>
          </a:xfrm>
          <a:custGeom>
            <a:avLst/>
            <a:gdLst>
              <a:gd name="csX0" fmla="*/ 628650 w 800100"/>
              <a:gd name="csY0" fmla="*/ 217170 h 417194"/>
              <a:gd name="csX1" fmla="*/ 628650 w 800100"/>
              <a:gd name="csY1" fmla="*/ 57150 h 417194"/>
              <a:gd name="csX2" fmla="*/ 552450 w 800100"/>
              <a:gd name="csY2" fmla="*/ 57150 h 417194"/>
              <a:gd name="csX3" fmla="*/ 552450 w 800100"/>
              <a:gd name="csY3" fmla="*/ 144780 h 417194"/>
              <a:gd name="csX4" fmla="*/ 400050 w 800100"/>
              <a:gd name="csY4" fmla="*/ 0 h 417194"/>
              <a:gd name="csX5" fmla="*/ 400050 w 800100"/>
              <a:gd name="csY5" fmla="*/ 0 h 417194"/>
              <a:gd name="csX6" fmla="*/ 0 w 800100"/>
              <a:gd name="csY6" fmla="*/ 381000 h 417194"/>
              <a:gd name="csX7" fmla="*/ 42863 w 800100"/>
              <a:gd name="csY7" fmla="*/ 417195 h 417194"/>
              <a:gd name="csX8" fmla="*/ 400050 w 800100"/>
              <a:gd name="csY8" fmla="*/ 78105 h 417194"/>
              <a:gd name="csX9" fmla="*/ 400050 w 800100"/>
              <a:gd name="csY9" fmla="*/ 78105 h 417194"/>
              <a:gd name="csX10" fmla="*/ 757238 w 800100"/>
              <a:gd name="csY10" fmla="*/ 417195 h 417194"/>
              <a:gd name="csX11" fmla="*/ 800100 w 800100"/>
              <a:gd name="csY11" fmla="*/ 381000 h 41719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</a:cxnLst>
            <a:rect l="l" t="t" r="r" b="b"/>
            <a:pathLst>
              <a:path w="800100" h="417194">
                <a:moveTo>
                  <a:pt x="628650" y="217170"/>
                </a:moveTo>
                <a:lnTo>
                  <a:pt x="628650" y="57150"/>
                </a:lnTo>
                <a:lnTo>
                  <a:pt x="552450" y="57150"/>
                </a:lnTo>
                <a:lnTo>
                  <a:pt x="552450" y="144780"/>
                </a:lnTo>
                <a:lnTo>
                  <a:pt x="400050" y="0"/>
                </a:lnTo>
                <a:lnTo>
                  <a:pt x="400050" y="0"/>
                </a:lnTo>
                <a:lnTo>
                  <a:pt x="0" y="381000"/>
                </a:lnTo>
                <a:lnTo>
                  <a:pt x="42863" y="417195"/>
                </a:lnTo>
                <a:lnTo>
                  <a:pt x="400050" y="78105"/>
                </a:lnTo>
                <a:lnTo>
                  <a:pt x="400050" y="78105"/>
                </a:lnTo>
                <a:lnTo>
                  <a:pt x="757238" y="417195"/>
                </a:lnTo>
                <a:lnTo>
                  <a:pt x="800100" y="381000"/>
                </a:lnTo>
                <a:close/>
              </a:path>
            </a:pathLst>
          </a:custGeom>
          <a:solidFill>
            <a:srgbClr val="C00000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416ED2E0-A4D0-1A05-A57B-3759BBD3A030}"/>
              </a:ext>
            </a:extLst>
          </xdr:cNvPr>
          <xdr:cNvSpPr/>
        </xdr:nvSpPr>
        <xdr:spPr>
          <a:xfrm>
            <a:off x="967317" y="635210"/>
            <a:ext cx="571500" cy="554355"/>
          </a:xfrm>
          <a:custGeom>
            <a:avLst/>
            <a:gdLst>
              <a:gd name="csX0" fmla="*/ 0 w 571500"/>
              <a:gd name="csY0" fmla="*/ 271463 h 554355"/>
              <a:gd name="csX1" fmla="*/ 0 w 571500"/>
              <a:gd name="csY1" fmla="*/ 554355 h 554355"/>
              <a:gd name="csX2" fmla="*/ 228600 w 571500"/>
              <a:gd name="csY2" fmla="*/ 554355 h 554355"/>
              <a:gd name="csX3" fmla="*/ 228600 w 571500"/>
              <a:gd name="csY3" fmla="*/ 316230 h 554355"/>
              <a:gd name="csX4" fmla="*/ 342900 w 571500"/>
              <a:gd name="csY4" fmla="*/ 316230 h 554355"/>
              <a:gd name="csX5" fmla="*/ 342900 w 571500"/>
              <a:gd name="csY5" fmla="*/ 554355 h 554355"/>
              <a:gd name="csX6" fmla="*/ 571500 w 571500"/>
              <a:gd name="csY6" fmla="*/ 554355 h 554355"/>
              <a:gd name="csX7" fmla="*/ 571500 w 571500"/>
              <a:gd name="csY7" fmla="*/ 271463 h 554355"/>
              <a:gd name="csX8" fmla="*/ 285750 w 571500"/>
              <a:gd name="csY8" fmla="*/ 0 h 554355"/>
              <a:gd name="csX9" fmla="*/ 0 w 571500"/>
              <a:gd name="csY9" fmla="*/ 271463 h 554355"/>
              <a:gd name="csX10" fmla="*/ 171450 w 571500"/>
              <a:gd name="csY10" fmla="*/ 430530 h 554355"/>
              <a:gd name="csX11" fmla="*/ 57150 w 571500"/>
              <a:gd name="csY11" fmla="*/ 430530 h 554355"/>
              <a:gd name="csX12" fmla="*/ 57150 w 571500"/>
              <a:gd name="csY12" fmla="*/ 316230 h 554355"/>
              <a:gd name="csX13" fmla="*/ 171450 w 571500"/>
              <a:gd name="csY13" fmla="*/ 316230 h 554355"/>
              <a:gd name="csX14" fmla="*/ 171450 w 571500"/>
              <a:gd name="csY14" fmla="*/ 430530 h 554355"/>
              <a:gd name="csX15" fmla="*/ 400050 w 571500"/>
              <a:gd name="csY15" fmla="*/ 316230 h 554355"/>
              <a:gd name="csX16" fmla="*/ 514350 w 571500"/>
              <a:gd name="csY16" fmla="*/ 316230 h 554355"/>
              <a:gd name="csX17" fmla="*/ 514350 w 571500"/>
              <a:gd name="csY17" fmla="*/ 430530 h 554355"/>
              <a:gd name="csX18" fmla="*/ 400050 w 571500"/>
              <a:gd name="csY18" fmla="*/ 430530 h 554355"/>
              <a:gd name="csX19" fmla="*/ 400050 w 571500"/>
              <a:gd name="csY19" fmla="*/ 316230 h 5543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571500" h="554355">
                <a:moveTo>
                  <a:pt x="0" y="271463"/>
                </a:moveTo>
                <a:lnTo>
                  <a:pt x="0" y="554355"/>
                </a:lnTo>
                <a:lnTo>
                  <a:pt x="228600" y="554355"/>
                </a:lnTo>
                <a:lnTo>
                  <a:pt x="228600" y="316230"/>
                </a:lnTo>
                <a:lnTo>
                  <a:pt x="342900" y="316230"/>
                </a:lnTo>
                <a:lnTo>
                  <a:pt x="342900" y="554355"/>
                </a:lnTo>
                <a:lnTo>
                  <a:pt x="571500" y="554355"/>
                </a:lnTo>
                <a:lnTo>
                  <a:pt x="571500" y="271463"/>
                </a:lnTo>
                <a:lnTo>
                  <a:pt x="285750" y="0"/>
                </a:lnTo>
                <a:lnTo>
                  <a:pt x="0" y="271463"/>
                </a:lnTo>
                <a:close/>
                <a:moveTo>
                  <a:pt x="171450" y="430530"/>
                </a:moveTo>
                <a:lnTo>
                  <a:pt x="57150" y="430530"/>
                </a:lnTo>
                <a:lnTo>
                  <a:pt x="57150" y="316230"/>
                </a:lnTo>
                <a:lnTo>
                  <a:pt x="171450" y="316230"/>
                </a:lnTo>
                <a:lnTo>
                  <a:pt x="171450" y="430530"/>
                </a:lnTo>
                <a:close/>
                <a:moveTo>
                  <a:pt x="400050" y="316230"/>
                </a:moveTo>
                <a:lnTo>
                  <a:pt x="514350" y="316230"/>
                </a:lnTo>
                <a:lnTo>
                  <a:pt x="514350" y="430530"/>
                </a:lnTo>
                <a:lnTo>
                  <a:pt x="400050" y="430530"/>
                </a:lnTo>
                <a:lnTo>
                  <a:pt x="400050" y="316230"/>
                </a:lnTo>
                <a:close/>
              </a:path>
            </a:pathLst>
          </a:custGeom>
          <a:solidFill>
            <a:srgbClr val="E97132">
              <a:lumMod val="20000"/>
              <a:lumOff val="80000"/>
            </a:srgbClr>
          </a:solidFill>
          <a:ln w="9525" cap="flat">
            <a:noFill/>
            <a:prstDash val="solid"/>
            <a:miter/>
          </a:ln>
        </xdr:spPr>
      </xdr:sp>
    </xdr:grpSp>
    <xdr:clientData/>
  </xdr:twoCellAnchor>
  <xdr:twoCellAnchor>
    <xdr:from>
      <xdr:col>0</xdr:col>
      <xdr:colOff>355602</xdr:colOff>
      <xdr:row>8</xdr:row>
      <xdr:rowOff>16933</xdr:rowOff>
    </xdr:from>
    <xdr:to>
      <xdr:col>1</xdr:col>
      <xdr:colOff>457202</xdr:colOff>
      <xdr:row>12</xdr:row>
      <xdr:rowOff>118533</xdr:rowOff>
    </xdr:to>
    <xdr:pic>
      <xdr:nvPicPr>
        <xdr:cNvPr id="6" name="Graphic 5" descr="User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F2CEC3-9994-7F44-AA4A-985CBEEE5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55602" y="1642533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444496</xdr:colOff>
      <xdr:row>14</xdr:row>
      <xdr:rowOff>138854</xdr:rowOff>
    </xdr:from>
    <xdr:to>
      <xdr:col>1</xdr:col>
      <xdr:colOff>368296</xdr:colOff>
      <xdr:row>17</xdr:row>
      <xdr:rowOff>169334</xdr:rowOff>
    </xdr:to>
    <xdr:grpSp>
      <xdr:nvGrpSpPr>
        <xdr:cNvPr id="7" name="Group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6FF3CF-E149-5447-BB49-AC4B0AAC8B7B}"/>
            </a:ext>
          </a:extLst>
        </xdr:cNvPr>
        <xdr:cNvGrpSpPr/>
      </xdr:nvGrpSpPr>
      <xdr:grpSpPr>
        <a:xfrm>
          <a:off x="444496" y="2904632"/>
          <a:ext cx="742244" cy="623146"/>
          <a:chOff x="850900" y="2979669"/>
          <a:chExt cx="838200" cy="635598"/>
        </a:xfrm>
      </xdr:grpSpPr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6C8F061C-27C0-48AB-C78F-B64D52E5B796}"/>
              </a:ext>
            </a:extLst>
          </xdr:cNvPr>
          <xdr:cNvSpPr/>
        </xdr:nvSpPr>
        <xdr:spPr>
          <a:xfrm>
            <a:off x="850900" y="3235761"/>
            <a:ext cx="838200" cy="379506"/>
          </a:xfrm>
          <a:custGeom>
            <a:avLst/>
            <a:gdLst>
              <a:gd name="csX0" fmla="*/ 781050 w 838200"/>
              <a:gd name="csY0" fmla="*/ 295275 h 381000"/>
              <a:gd name="csX1" fmla="*/ 752475 w 838200"/>
              <a:gd name="csY1" fmla="*/ 323850 h 381000"/>
              <a:gd name="csX2" fmla="*/ 95250 w 838200"/>
              <a:gd name="csY2" fmla="*/ 323850 h 381000"/>
              <a:gd name="csX3" fmla="*/ 57150 w 838200"/>
              <a:gd name="csY3" fmla="*/ 285750 h 381000"/>
              <a:gd name="csX4" fmla="*/ 57150 w 838200"/>
              <a:gd name="csY4" fmla="*/ 95250 h 381000"/>
              <a:gd name="csX5" fmla="*/ 95250 w 838200"/>
              <a:gd name="csY5" fmla="*/ 57150 h 381000"/>
              <a:gd name="csX6" fmla="*/ 752475 w 838200"/>
              <a:gd name="csY6" fmla="*/ 57150 h 381000"/>
              <a:gd name="csX7" fmla="*/ 781050 w 838200"/>
              <a:gd name="csY7" fmla="*/ 85725 h 381000"/>
              <a:gd name="csX8" fmla="*/ 781050 w 838200"/>
              <a:gd name="csY8" fmla="*/ 295275 h 381000"/>
              <a:gd name="csX9" fmla="*/ 0 w 838200"/>
              <a:gd name="csY9" fmla="*/ 0 h 381000"/>
              <a:gd name="csX10" fmla="*/ 0 w 838200"/>
              <a:gd name="csY10" fmla="*/ 381000 h 381000"/>
              <a:gd name="csX11" fmla="*/ 838200 w 838200"/>
              <a:gd name="csY11" fmla="*/ 381000 h 381000"/>
              <a:gd name="csX12" fmla="*/ 838200 w 838200"/>
              <a:gd name="csY12" fmla="*/ 0 h 381000"/>
              <a:gd name="csX13" fmla="*/ 0 w 838200"/>
              <a:gd name="csY13" fmla="*/ 0 h 38100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</a:cxnLst>
            <a:rect l="l" t="t" r="r" b="b"/>
            <a:pathLst>
              <a:path w="838200" h="381000">
                <a:moveTo>
                  <a:pt x="781050" y="295275"/>
                </a:moveTo>
                <a:lnTo>
                  <a:pt x="752475" y="323850"/>
                </a:lnTo>
                <a:lnTo>
                  <a:pt x="95250" y="323850"/>
                </a:lnTo>
                <a:lnTo>
                  <a:pt x="57150" y="285750"/>
                </a:lnTo>
                <a:lnTo>
                  <a:pt x="57150" y="95250"/>
                </a:lnTo>
                <a:lnTo>
                  <a:pt x="95250" y="57150"/>
                </a:lnTo>
                <a:lnTo>
                  <a:pt x="752475" y="57150"/>
                </a:lnTo>
                <a:lnTo>
                  <a:pt x="781050" y="85725"/>
                </a:lnTo>
                <a:lnTo>
                  <a:pt x="781050" y="295275"/>
                </a:lnTo>
                <a:close/>
                <a:moveTo>
                  <a:pt x="0" y="0"/>
                </a:moveTo>
                <a:lnTo>
                  <a:pt x="0" y="381000"/>
                </a:lnTo>
                <a:lnTo>
                  <a:pt x="838200" y="381000"/>
                </a:lnTo>
                <a:lnTo>
                  <a:pt x="838200" y="0"/>
                </a:lnTo>
                <a:lnTo>
                  <a:pt x="0" y="0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573B8829-B314-3B92-C37B-4C991962220F}"/>
              </a:ext>
            </a:extLst>
          </xdr:cNvPr>
          <xdr:cNvSpPr/>
        </xdr:nvSpPr>
        <xdr:spPr>
          <a:xfrm>
            <a:off x="1193800" y="3331011"/>
            <a:ext cx="152400" cy="189006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BD8FDD49-856E-C10E-F34E-2B07E92999EA}"/>
              </a:ext>
            </a:extLst>
          </xdr:cNvPr>
          <xdr:cNvSpPr/>
        </xdr:nvSpPr>
        <xdr:spPr>
          <a:xfrm>
            <a:off x="1003300" y="3397686"/>
            <a:ext cx="57150" cy="55656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160B0B11-53D8-DF24-7471-6695FB8C3DD6}"/>
              </a:ext>
            </a:extLst>
          </xdr:cNvPr>
          <xdr:cNvSpPr/>
        </xdr:nvSpPr>
        <xdr:spPr>
          <a:xfrm>
            <a:off x="1479550" y="3397686"/>
            <a:ext cx="57150" cy="55656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280CC255-A875-954D-8A99-80B565B9F115}"/>
              </a:ext>
            </a:extLst>
          </xdr:cNvPr>
          <xdr:cNvSpPr/>
        </xdr:nvSpPr>
        <xdr:spPr>
          <a:xfrm>
            <a:off x="959484" y="2979669"/>
            <a:ext cx="552450" cy="208055"/>
          </a:xfrm>
          <a:custGeom>
            <a:avLst/>
            <a:gdLst>
              <a:gd name="csX0" fmla="*/ 481013 w 552450"/>
              <a:gd name="csY0" fmla="*/ 75248 h 209549"/>
              <a:gd name="csX1" fmla="*/ 495300 w 552450"/>
              <a:gd name="csY1" fmla="*/ 111443 h 209549"/>
              <a:gd name="csX2" fmla="*/ 552450 w 552450"/>
              <a:gd name="csY2" fmla="*/ 100012 h 209549"/>
              <a:gd name="csX3" fmla="*/ 512445 w 552450"/>
              <a:gd name="csY3" fmla="*/ 0 h 209549"/>
              <a:gd name="csX4" fmla="*/ 0 w 552450"/>
              <a:gd name="csY4" fmla="*/ 209550 h 209549"/>
              <a:gd name="csX5" fmla="*/ 293370 w 552450"/>
              <a:gd name="csY5" fmla="*/ 151448 h 20954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552450" h="209549">
                <a:moveTo>
                  <a:pt x="481013" y="75248"/>
                </a:moveTo>
                <a:lnTo>
                  <a:pt x="495300" y="111443"/>
                </a:lnTo>
                <a:lnTo>
                  <a:pt x="552450" y="100012"/>
                </a:lnTo>
                <a:lnTo>
                  <a:pt x="512445" y="0"/>
                </a:lnTo>
                <a:lnTo>
                  <a:pt x="0" y="209550"/>
                </a:lnTo>
                <a:lnTo>
                  <a:pt x="293370" y="151448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13" name="Freeform 12">
            <a:extLst>
              <a:ext uri="{FF2B5EF4-FFF2-40B4-BE49-F238E27FC236}">
                <a16:creationId xmlns:a16="http://schemas.microsoft.com/office/drawing/2014/main" id="{14DF91AF-14E2-9A67-E588-3EE2C0E6F52A}"/>
              </a:ext>
            </a:extLst>
          </xdr:cNvPr>
          <xdr:cNvSpPr/>
        </xdr:nvSpPr>
        <xdr:spPr>
          <a:xfrm>
            <a:off x="1098550" y="3101999"/>
            <a:ext cx="507682" cy="97155"/>
          </a:xfrm>
          <a:custGeom>
            <a:avLst/>
            <a:gdLst>
              <a:gd name="csX0" fmla="*/ 292418 w 507682"/>
              <a:gd name="csY0" fmla="*/ 97155 h 97155"/>
              <a:gd name="csX1" fmla="*/ 442913 w 507682"/>
              <a:gd name="csY1" fmla="*/ 67628 h 97155"/>
              <a:gd name="csX2" fmla="*/ 449580 w 507682"/>
              <a:gd name="csY2" fmla="*/ 97155 h 97155"/>
              <a:gd name="csX3" fmla="*/ 507683 w 507682"/>
              <a:gd name="csY3" fmla="*/ 97155 h 97155"/>
              <a:gd name="csX4" fmla="*/ 488633 w 507682"/>
              <a:gd name="csY4" fmla="*/ 0 h 97155"/>
              <a:gd name="csX5" fmla="*/ 0 w 507682"/>
              <a:gd name="csY5" fmla="*/ 97155 h 971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507682" h="97155">
                <a:moveTo>
                  <a:pt x="292418" y="97155"/>
                </a:moveTo>
                <a:lnTo>
                  <a:pt x="442913" y="67628"/>
                </a:lnTo>
                <a:lnTo>
                  <a:pt x="449580" y="97155"/>
                </a:lnTo>
                <a:lnTo>
                  <a:pt x="507683" y="97155"/>
                </a:lnTo>
                <a:lnTo>
                  <a:pt x="488633" y="0"/>
                </a:lnTo>
                <a:lnTo>
                  <a:pt x="0" y="97155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</xdr:grpSp>
    <xdr:clientData/>
  </xdr:twoCellAnchor>
  <xdr:twoCellAnchor>
    <xdr:from>
      <xdr:col>0</xdr:col>
      <xdr:colOff>402055</xdr:colOff>
      <xdr:row>21</xdr:row>
      <xdr:rowOff>78078</xdr:rowOff>
    </xdr:from>
    <xdr:to>
      <xdr:col>1</xdr:col>
      <xdr:colOff>347246</xdr:colOff>
      <xdr:row>24</xdr:row>
      <xdr:rowOff>192616</xdr:rowOff>
    </xdr:to>
    <xdr:sp macro="" textlink="">
      <xdr:nvSpPr>
        <xdr:cNvPr id="14" name="Graphic 8" descr="Warning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F722C29-977A-D847-9B76-8C60AC3899E7}"/>
            </a:ext>
          </a:extLst>
        </xdr:cNvPr>
        <xdr:cNvSpPr/>
      </xdr:nvSpPr>
      <xdr:spPr>
        <a:xfrm>
          <a:off x="402055" y="4345278"/>
          <a:ext cx="757991" cy="724138"/>
        </a:xfrm>
        <a:custGeom>
          <a:avLst/>
          <a:gdLst>
            <a:gd name="csX0" fmla="*/ 816511 w 821491"/>
            <a:gd name="csY0" fmla="*/ 666988 h 724138"/>
            <a:gd name="csX1" fmla="*/ 444083 w 821491"/>
            <a:gd name="csY1" fmla="*/ 19288 h 724138"/>
            <a:gd name="csX2" fmla="*/ 378361 w 821491"/>
            <a:gd name="csY2" fmla="*/ 19288 h 724138"/>
            <a:gd name="csX3" fmla="*/ 4981 w 821491"/>
            <a:gd name="csY3" fmla="*/ 666988 h 724138"/>
            <a:gd name="csX4" fmla="*/ 38318 w 821491"/>
            <a:gd name="csY4" fmla="*/ 724138 h 724138"/>
            <a:gd name="csX5" fmla="*/ 410746 w 821491"/>
            <a:gd name="csY5" fmla="*/ 724138 h 724138"/>
            <a:gd name="csX6" fmla="*/ 783173 w 821491"/>
            <a:gd name="csY6" fmla="*/ 724138 h 724138"/>
            <a:gd name="csX7" fmla="*/ 816511 w 821491"/>
            <a:gd name="csY7" fmla="*/ 666988 h 724138"/>
            <a:gd name="csX8" fmla="*/ 382171 w 821491"/>
            <a:gd name="csY8" fmla="*/ 171688 h 724138"/>
            <a:gd name="csX9" fmla="*/ 439321 w 821491"/>
            <a:gd name="csY9" fmla="*/ 171688 h 724138"/>
            <a:gd name="csX10" fmla="*/ 439321 w 821491"/>
            <a:gd name="csY10" fmla="*/ 505063 h 724138"/>
            <a:gd name="csX11" fmla="*/ 382171 w 821491"/>
            <a:gd name="csY11" fmla="*/ 505063 h 724138"/>
            <a:gd name="csX12" fmla="*/ 382171 w 821491"/>
            <a:gd name="csY12" fmla="*/ 171688 h 724138"/>
            <a:gd name="csX13" fmla="*/ 410746 w 821491"/>
            <a:gd name="csY13" fmla="*/ 638413 h 724138"/>
            <a:gd name="csX14" fmla="*/ 363121 w 821491"/>
            <a:gd name="csY14" fmla="*/ 590788 h 724138"/>
            <a:gd name="csX15" fmla="*/ 410746 w 821491"/>
            <a:gd name="csY15" fmla="*/ 543163 h 724138"/>
            <a:gd name="csX16" fmla="*/ 458371 w 821491"/>
            <a:gd name="csY16" fmla="*/ 590788 h 724138"/>
            <a:gd name="csX17" fmla="*/ 410746 w 821491"/>
            <a:gd name="csY17" fmla="*/ 638413 h 7241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</a:cxnLst>
          <a:rect l="l" t="t" r="r" b="b"/>
          <a:pathLst>
            <a:path w="821491" h="724138">
              <a:moveTo>
                <a:pt x="816511" y="666988"/>
              </a:moveTo>
              <a:lnTo>
                <a:pt x="444083" y="19288"/>
              </a:lnTo>
              <a:cubicBezTo>
                <a:pt x="429796" y="-6429"/>
                <a:pt x="392648" y="-6429"/>
                <a:pt x="378361" y="19288"/>
              </a:cubicBezTo>
              <a:lnTo>
                <a:pt x="4981" y="666988"/>
              </a:lnTo>
              <a:cubicBezTo>
                <a:pt x="-9307" y="692706"/>
                <a:pt x="8791" y="724138"/>
                <a:pt x="38318" y="724138"/>
              </a:cubicBezTo>
              <a:lnTo>
                <a:pt x="410746" y="724138"/>
              </a:lnTo>
              <a:lnTo>
                <a:pt x="783173" y="724138"/>
              </a:lnTo>
              <a:cubicBezTo>
                <a:pt x="812701" y="724138"/>
                <a:pt x="830798" y="692706"/>
                <a:pt x="816511" y="666988"/>
              </a:cubicBezTo>
              <a:close/>
              <a:moveTo>
                <a:pt x="382171" y="171688"/>
              </a:moveTo>
              <a:lnTo>
                <a:pt x="439321" y="171688"/>
              </a:lnTo>
              <a:lnTo>
                <a:pt x="439321" y="505063"/>
              </a:lnTo>
              <a:lnTo>
                <a:pt x="382171" y="505063"/>
              </a:lnTo>
              <a:lnTo>
                <a:pt x="382171" y="171688"/>
              </a:lnTo>
              <a:close/>
              <a:moveTo>
                <a:pt x="410746" y="638413"/>
              </a:moveTo>
              <a:cubicBezTo>
                <a:pt x="384076" y="638413"/>
                <a:pt x="363121" y="617458"/>
                <a:pt x="363121" y="590788"/>
              </a:cubicBezTo>
              <a:cubicBezTo>
                <a:pt x="363121" y="564118"/>
                <a:pt x="384076" y="543163"/>
                <a:pt x="410746" y="543163"/>
              </a:cubicBezTo>
              <a:cubicBezTo>
                <a:pt x="437416" y="543163"/>
                <a:pt x="458371" y="564118"/>
                <a:pt x="458371" y="590788"/>
              </a:cubicBezTo>
              <a:cubicBezTo>
                <a:pt x="458371" y="617458"/>
                <a:pt x="437416" y="638413"/>
                <a:pt x="410746" y="638413"/>
              </a:cubicBezTo>
              <a:close/>
            </a:path>
          </a:pathLst>
        </a:custGeom>
        <a:solidFill>
          <a:sysClr val="window" lastClr="FFFFFF"/>
        </a:solidFill>
        <a:ln w="9525" cap="flat">
          <a:noFill/>
          <a:prstDash val="solid"/>
          <a:miter/>
        </a:ln>
      </xdr:spPr>
    </xdr:sp>
    <xdr:clientData/>
  </xdr:twoCellAnchor>
  <xdr:twoCellAnchor>
    <xdr:from>
      <xdr:col>2</xdr:col>
      <xdr:colOff>212727</xdr:colOff>
      <xdr:row>0</xdr:row>
      <xdr:rowOff>177801</xdr:rowOff>
    </xdr:from>
    <xdr:to>
      <xdr:col>19</xdr:col>
      <xdr:colOff>689428</xdr:colOff>
      <xdr:row>4</xdr:row>
      <xdr:rowOff>38100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953E6CD-BBAE-7548-BF44-9C71143BAEF0}"/>
            </a:ext>
          </a:extLst>
        </xdr:cNvPr>
        <xdr:cNvSpPr/>
      </xdr:nvSpPr>
      <xdr:spPr>
        <a:xfrm>
          <a:off x="1838327" y="177801"/>
          <a:ext cx="14294301" cy="673099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Customer Churn Analysis — Contract, Tenure, Service &amp; Payment Patterns</a:t>
          </a:r>
        </a:p>
      </xdr:txBody>
    </xdr:sp>
    <xdr:clientData/>
  </xdr:twoCellAnchor>
  <xdr:twoCellAnchor>
    <xdr:from>
      <xdr:col>2</xdr:col>
      <xdr:colOff>220133</xdr:colOff>
      <xdr:row>4</xdr:row>
      <xdr:rowOff>201705</xdr:rowOff>
    </xdr:from>
    <xdr:to>
      <xdr:col>6</xdr:col>
      <xdr:colOff>419100</xdr:colOff>
      <xdr:row>10</xdr:row>
      <xdr:rowOff>1</xdr:rowOff>
    </xdr:to>
    <xdr:sp macro="" textlink="KPI_Framework!C5">
      <xdr:nvSpPr>
        <xdr:cNvPr id="16" name="Rounded Rectangle 15">
          <a:extLst>
            <a:ext uri="{FF2B5EF4-FFF2-40B4-BE49-F238E27FC236}">
              <a16:creationId xmlns:a16="http://schemas.microsoft.com/office/drawing/2014/main" id="{378A20D2-8D8B-744E-BD7C-26FFF1FCDC29}"/>
            </a:ext>
          </a:extLst>
        </xdr:cNvPr>
        <xdr:cNvSpPr/>
      </xdr:nvSpPr>
      <xdr:spPr>
        <a:xfrm>
          <a:off x="1845733" y="1014505"/>
          <a:ext cx="3450167" cy="1017496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DE2D1C5-8F8A-3E46-AF0C-62AC690EE421}" type="TxLink"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cs typeface="Arial" panose="020B0604020202020204" pitchFamily="34" charset="0"/>
            </a:rPr>
            <a:pPr algn="l"/>
            <a:t>26.54%</a:t>
          </a:fld>
          <a:endParaRPr lang="en-US" sz="3600" b="1" i="0" u="none" strike="noStrike">
            <a:solidFill>
              <a:srgbClr val="C9A84C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G" sz="1200"/>
            <a:t>📉</a:t>
          </a:r>
          <a:r>
            <a:rPr lang="en-NG" sz="1200" baseline="0"/>
            <a:t> </a:t>
          </a:r>
          <a:r>
            <a:rPr lang="en-US" sz="1100" b="1" i="0" u="none" strike="noStrike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Overall Churn Rate</a:t>
          </a:r>
        </a:p>
      </xdr:txBody>
    </xdr:sp>
    <xdr:clientData/>
  </xdr:twoCellAnchor>
  <xdr:twoCellAnchor>
    <xdr:from>
      <xdr:col>2</xdr:col>
      <xdr:colOff>194735</xdr:colOff>
      <xdr:row>41</xdr:row>
      <xdr:rowOff>6348</xdr:rowOff>
    </xdr:from>
    <xdr:to>
      <xdr:col>19</xdr:col>
      <xdr:colOff>666751</xdr:colOff>
      <xdr:row>50</xdr:row>
      <xdr:rowOff>12700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35CCCD37-667F-004D-8FB6-7295B02F108B}"/>
            </a:ext>
          </a:extLst>
        </xdr:cNvPr>
        <xdr:cNvSpPr/>
      </xdr:nvSpPr>
      <xdr:spPr>
        <a:xfrm>
          <a:off x="1820335" y="8337548"/>
          <a:ext cx="14289616" cy="1835152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212725</xdr:colOff>
      <xdr:row>2</xdr:row>
      <xdr:rowOff>136769</xdr:rowOff>
    </xdr:from>
    <xdr:to>
      <xdr:col>19</xdr:col>
      <xdr:colOff>689428</xdr:colOff>
      <xdr:row>4</xdr:row>
      <xdr:rowOff>39077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A188D55-B11F-6A4E-B327-98F624100223}"/>
            </a:ext>
          </a:extLst>
        </xdr:cNvPr>
        <xdr:cNvSpPr/>
      </xdr:nvSpPr>
      <xdr:spPr>
        <a:xfrm>
          <a:off x="1838325" y="543169"/>
          <a:ext cx="14294303" cy="308708"/>
        </a:xfrm>
        <a:prstGeom prst="rect">
          <a:avLst/>
        </a:prstGeom>
        <a:solidFill>
          <a:srgbClr val="DAE3F3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900" i="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Customer pillar · 7,043 customers · 1,869 churned · Overall churn rate 26.54%</a:t>
          </a:r>
        </a:p>
      </xdr:txBody>
    </xdr:sp>
    <xdr:clientData/>
  </xdr:twoCellAnchor>
  <xdr:twoCellAnchor>
    <xdr:from>
      <xdr:col>2</xdr:col>
      <xdr:colOff>175685</xdr:colOff>
      <xdr:row>11</xdr:row>
      <xdr:rowOff>0</xdr:rowOff>
    </xdr:from>
    <xdr:to>
      <xdr:col>19</xdr:col>
      <xdr:colOff>647700</xdr:colOff>
      <xdr:row>40</xdr:row>
      <xdr:rowOff>4227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542DB79A-52F4-FE41-8C84-A30A330B97F2}"/>
            </a:ext>
          </a:extLst>
        </xdr:cNvPr>
        <xdr:cNvGrpSpPr/>
      </xdr:nvGrpSpPr>
      <xdr:grpSpPr>
        <a:xfrm>
          <a:off x="1812574" y="2173111"/>
          <a:ext cx="14385570" cy="5733338"/>
          <a:chOff x="1801285" y="2235200"/>
          <a:chExt cx="14289615" cy="5897027"/>
        </a:xfrm>
      </xdr:grpSpPr>
      <xdr:sp macro="" textlink="">
        <xdr:nvSpPr>
          <xdr:cNvPr id="24" name="Rounded Rectangle 23">
            <a:extLst>
              <a:ext uri="{FF2B5EF4-FFF2-40B4-BE49-F238E27FC236}">
                <a16:creationId xmlns:a16="http://schemas.microsoft.com/office/drawing/2014/main" id="{77339243-5AFE-3F09-91CF-9DAAE91A773F}"/>
              </a:ext>
            </a:extLst>
          </xdr:cNvPr>
          <xdr:cNvSpPr/>
        </xdr:nvSpPr>
        <xdr:spPr>
          <a:xfrm>
            <a:off x="1807633" y="2235200"/>
            <a:ext cx="7031567" cy="2844800"/>
          </a:xfrm>
          <a:prstGeom prst="roundRect">
            <a:avLst>
              <a:gd name="adj" fmla="val 794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000" b="1">
                <a:solidFill>
                  <a:srgbClr val="1F386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Churn Rate by Contract Type</a:t>
            </a:r>
          </a:p>
        </xdr:txBody>
      </xdr:sp>
      <xdr:sp macro="" textlink="">
        <xdr:nvSpPr>
          <xdr:cNvPr id="25" name="Rounded Rectangle 24">
            <a:extLst>
              <a:ext uri="{FF2B5EF4-FFF2-40B4-BE49-F238E27FC236}">
                <a16:creationId xmlns:a16="http://schemas.microsoft.com/office/drawing/2014/main" id="{D497F52A-EADD-8F08-9E61-CB6D85B61C9E}"/>
              </a:ext>
            </a:extLst>
          </xdr:cNvPr>
          <xdr:cNvSpPr/>
        </xdr:nvSpPr>
        <xdr:spPr>
          <a:xfrm>
            <a:off x="9059333" y="2235200"/>
            <a:ext cx="7031567" cy="2844800"/>
          </a:xfrm>
          <a:prstGeom prst="roundRect">
            <a:avLst>
              <a:gd name="adj" fmla="val 794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100" b="1">
                <a:solidFill>
                  <a:srgbClr val="1F386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Churn Rate by Tenure Band</a:t>
            </a:r>
          </a:p>
        </xdr:txBody>
      </xdr:sp>
      <xdr:sp macro="" textlink="">
        <xdr:nvSpPr>
          <xdr:cNvPr id="26" name="Rounded Rectangle 25">
            <a:extLst>
              <a:ext uri="{FF2B5EF4-FFF2-40B4-BE49-F238E27FC236}">
                <a16:creationId xmlns:a16="http://schemas.microsoft.com/office/drawing/2014/main" id="{44552E58-8DC3-4794-C0F8-FFE9AD3ADF59}"/>
              </a:ext>
            </a:extLst>
          </xdr:cNvPr>
          <xdr:cNvSpPr/>
        </xdr:nvSpPr>
        <xdr:spPr>
          <a:xfrm>
            <a:off x="1801285" y="5287427"/>
            <a:ext cx="7031567" cy="2844800"/>
          </a:xfrm>
          <a:prstGeom prst="roundRect">
            <a:avLst>
              <a:gd name="adj" fmla="val 794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100" b="1">
                <a:solidFill>
                  <a:srgbClr val="1F386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Churn Rate by Internet Service Type</a:t>
            </a:r>
          </a:p>
        </xdr:txBody>
      </xdr:sp>
      <xdr:sp macro="" textlink="">
        <xdr:nvSpPr>
          <xdr:cNvPr id="27" name="Rounded Rectangle 26">
            <a:extLst>
              <a:ext uri="{FF2B5EF4-FFF2-40B4-BE49-F238E27FC236}">
                <a16:creationId xmlns:a16="http://schemas.microsoft.com/office/drawing/2014/main" id="{62CE92D8-0668-A099-8A37-C1F1F46C128B}"/>
              </a:ext>
            </a:extLst>
          </xdr:cNvPr>
          <xdr:cNvSpPr/>
        </xdr:nvSpPr>
        <xdr:spPr>
          <a:xfrm>
            <a:off x="9052985" y="5287427"/>
            <a:ext cx="7031567" cy="2844800"/>
          </a:xfrm>
          <a:prstGeom prst="roundRect">
            <a:avLst>
              <a:gd name="adj" fmla="val 794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100" b="1">
                <a:solidFill>
                  <a:srgbClr val="1F386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Churn Rate by Payment Type</a:t>
            </a:r>
          </a:p>
        </xdr:txBody>
      </xdr:sp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2E78F938-9AED-BF10-5BC8-A5EC5F7D2F84}"/>
              </a:ext>
            </a:extLst>
          </xdr:cNvPr>
          <xdr:cNvGraphicFramePr>
            <a:graphicFrameLocks/>
          </xdr:cNvGraphicFramePr>
        </xdr:nvGraphicFramePr>
        <xdr:xfrm>
          <a:off x="1879600" y="2514599"/>
          <a:ext cx="6908800" cy="25527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2</xdr:col>
      <xdr:colOff>571500</xdr:colOff>
      <xdr:row>41</xdr:row>
      <xdr:rowOff>63500</xdr:rowOff>
    </xdr:from>
    <xdr:to>
      <xdr:col>5</xdr:col>
      <xdr:colOff>355600</xdr:colOff>
      <xdr:row>42</xdr:row>
      <xdr:rowOff>139700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2B6A13F-602B-B64E-8638-A658267EB830}"/>
            </a:ext>
          </a:extLst>
        </xdr:cNvPr>
        <xdr:cNvSpPr txBox="1"/>
      </xdr:nvSpPr>
      <xdr:spPr>
        <a:xfrm>
          <a:off x="2197100" y="8394700"/>
          <a:ext cx="22225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>
              <a:solidFill>
                <a:srgbClr val="C9A84C"/>
              </a:solidFill>
              <a:latin typeface="Arial" panose="020B0604020202020204" pitchFamily="34" charset="0"/>
              <a:cs typeface="Arial" panose="020B0604020202020204" pitchFamily="34" charset="0"/>
            </a:rPr>
            <a:t>Customer Pillar Findings</a:t>
          </a:r>
        </a:p>
      </xdr:txBody>
    </xdr:sp>
    <xdr:clientData/>
  </xdr:twoCellAnchor>
  <xdr:twoCellAnchor>
    <xdr:from>
      <xdr:col>2</xdr:col>
      <xdr:colOff>558800</xdr:colOff>
      <xdr:row>42</xdr:row>
      <xdr:rowOff>127000</xdr:rowOff>
    </xdr:from>
    <xdr:to>
      <xdr:col>10</xdr:col>
      <xdr:colOff>508000</xdr:colOff>
      <xdr:row>48</xdr:row>
      <xdr:rowOff>38100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54D4663-FE50-3941-A81E-4EA37F5837AD}"/>
            </a:ext>
          </a:extLst>
        </xdr:cNvPr>
        <xdr:cNvSpPr txBox="1"/>
      </xdr:nvSpPr>
      <xdr:spPr>
        <a:xfrm>
          <a:off x="2184400" y="8661400"/>
          <a:ext cx="6451600" cy="1130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Month-to-month contracts have the highest churn rate (42.71%), 15× that of two-year contracts.</a:t>
          </a:r>
        </a:p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Churn is concentrated early: customers in their first 12 months churn at 47.44% and make up 55.5% of all churners.</a:t>
          </a:r>
        </a:p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Electronic check customers have the highest churn rate of any payment method (45.29%), about 3× that of automatic payment (15.2–16.7%).</a:t>
          </a:r>
        </a:p>
        <a:p>
          <a:endParaRPr lang="en-GB" sz="1050">
            <a:solidFill>
              <a:srgbClr val="A9B4C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194735</xdr:colOff>
      <xdr:row>48</xdr:row>
      <xdr:rowOff>114298</xdr:rowOff>
    </xdr:from>
    <xdr:to>
      <xdr:col>19</xdr:col>
      <xdr:colOff>671438</xdr:colOff>
      <xdr:row>50</xdr:row>
      <xdr:rowOff>16606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F894E85-605B-3D47-BFC0-1906DFC79F4B}"/>
            </a:ext>
          </a:extLst>
        </xdr:cNvPr>
        <xdr:cNvSpPr/>
      </xdr:nvSpPr>
      <xdr:spPr>
        <a:xfrm>
          <a:off x="1820335" y="9867898"/>
          <a:ext cx="14294303" cy="308708"/>
        </a:xfrm>
        <a:prstGeom prst="rect">
          <a:avLst/>
        </a:prstGeom>
        <a:solidFill>
          <a:srgbClr val="DAE3F3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GB" sz="800" i="1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HarjiiAnalytics · Project 7 · Customer Pillar</a:t>
          </a:r>
        </a:p>
      </xdr:txBody>
    </xdr:sp>
    <xdr:clientData/>
  </xdr:twoCellAnchor>
  <xdr:twoCellAnchor>
    <xdr:from>
      <xdr:col>11</xdr:col>
      <xdr:colOff>220134</xdr:colOff>
      <xdr:row>41</xdr:row>
      <xdr:rowOff>82548</xdr:rowOff>
    </xdr:from>
    <xdr:to>
      <xdr:col>13</xdr:col>
      <xdr:colOff>533400</xdr:colOff>
      <xdr:row>42</xdr:row>
      <xdr:rowOff>139700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8C04F94-CAE3-F84D-8614-E928256B227C}"/>
            </a:ext>
          </a:extLst>
        </xdr:cNvPr>
        <xdr:cNvSpPr txBox="1"/>
      </xdr:nvSpPr>
      <xdr:spPr>
        <a:xfrm>
          <a:off x="9160934" y="8413748"/>
          <a:ext cx="1938866" cy="260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>
              <a:solidFill>
                <a:srgbClr val="C9A84C"/>
              </a:solidFill>
              <a:latin typeface="Arial" panose="020B0604020202020204" pitchFamily="34" charset="0"/>
              <a:cs typeface="Arial" panose="020B0604020202020204" pitchFamily="34" charset="0"/>
            </a:rPr>
            <a:t>Recommended Actions</a:t>
          </a:r>
        </a:p>
        <a:p>
          <a:endParaRPr lang="en-GB" sz="1050" b="1">
            <a:solidFill>
              <a:srgbClr val="C9A84C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220135</xdr:colOff>
      <xdr:row>42</xdr:row>
      <xdr:rowOff>133348</xdr:rowOff>
    </xdr:from>
    <xdr:to>
      <xdr:col>19</xdr:col>
      <xdr:colOff>169335</xdr:colOff>
      <xdr:row>48</xdr:row>
      <xdr:rowOff>44448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6AD4E66-8251-1E40-9B42-43E13284F838}"/>
            </a:ext>
          </a:extLst>
        </xdr:cNvPr>
        <xdr:cNvSpPr txBox="1"/>
      </xdr:nvSpPr>
      <xdr:spPr>
        <a:xfrm>
          <a:off x="9160935" y="8667748"/>
          <a:ext cx="6451600" cy="1130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Promote migration from month-to-month to fixed-term contracts through targeted incentives.</a:t>
          </a:r>
        </a:p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Strengthen onboarding during the first 12 months to reduce early customer attrition.</a:t>
          </a:r>
        </a:p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Increase automatic payment adoption by incentivising electronic check customers.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12700</xdr:colOff>
      <xdr:row>49</xdr:row>
      <xdr:rowOff>101600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F1AF302-2541-384F-B5AB-262EB53BA09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638300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12700</xdr:colOff>
      <xdr:row>49</xdr:row>
      <xdr:rowOff>101600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6CA25936-6335-2345-AACD-C1EE5693E5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638300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150284</xdr:colOff>
      <xdr:row>11</xdr:row>
      <xdr:rowOff>177800</xdr:rowOff>
    </xdr:from>
    <xdr:to>
      <xdr:col>19</xdr:col>
      <xdr:colOff>304800</xdr:colOff>
      <xdr:row>25</xdr:row>
      <xdr:rowOff>76200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218157E7-81AA-1142-82AF-FD2DE8E30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251884</xdr:colOff>
      <xdr:row>27</xdr:row>
      <xdr:rowOff>0</xdr:rowOff>
    </xdr:from>
    <xdr:to>
      <xdr:col>10</xdr:col>
      <xdr:colOff>584200</xdr:colOff>
      <xdr:row>40</xdr:row>
      <xdr:rowOff>101600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B92BE007-D9DA-9440-B6ED-6B8AC24CF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139700</xdr:colOff>
      <xdr:row>26</xdr:row>
      <xdr:rowOff>190500</xdr:rowOff>
    </xdr:from>
    <xdr:to>
      <xdr:col>19</xdr:col>
      <xdr:colOff>584200</xdr:colOff>
      <xdr:row>40</xdr:row>
      <xdr:rowOff>88900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0192A3A-98A0-924D-8E48-0F513470D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588433</xdr:colOff>
      <xdr:row>5</xdr:row>
      <xdr:rowOff>11205</xdr:rowOff>
    </xdr:from>
    <xdr:to>
      <xdr:col>10</xdr:col>
      <xdr:colOff>787400</xdr:colOff>
      <xdr:row>10</xdr:row>
      <xdr:rowOff>12701</xdr:rowOff>
    </xdr:to>
    <xdr:sp macro="" textlink="KPI_Framework!C6">
      <xdr:nvSpPr>
        <xdr:cNvPr id="43" name="Rounded Rectangle 42">
          <a:extLst>
            <a:ext uri="{FF2B5EF4-FFF2-40B4-BE49-F238E27FC236}">
              <a16:creationId xmlns:a16="http://schemas.microsoft.com/office/drawing/2014/main" id="{69D4F8F6-D1B5-8E4B-8C98-4AF9638AFAC6}"/>
            </a:ext>
          </a:extLst>
        </xdr:cNvPr>
        <xdr:cNvSpPr/>
      </xdr:nvSpPr>
      <xdr:spPr>
        <a:xfrm>
          <a:off x="5465233" y="1027205"/>
          <a:ext cx="3450167" cy="1017496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4824D8D5-9219-5143-81EA-970BFDB27499}" type="TxLink"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42.71%</a:t>
          </a:fld>
          <a:endParaRPr lang="en-US" sz="3600" b="1" i="0" u="none" strike="noStrike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l"/>
          <a:r>
            <a:rPr lang="en-US" sz="1100" b="1" i="0" u="none" strike="noStrike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⚠ Month-to-month churn rate</a:t>
          </a:r>
        </a:p>
      </xdr:txBody>
    </xdr:sp>
    <xdr:clientData/>
  </xdr:twoCellAnchor>
  <xdr:twoCellAnchor>
    <xdr:from>
      <xdr:col>11</xdr:col>
      <xdr:colOff>131233</xdr:colOff>
      <xdr:row>5</xdr:row>
      <xdr:rowOff>11205</xdr:rowOff>
    </xdr:from>
    <xdr:to>
      <xdr:col>15</xdr:col>
      <xdr:colOff>330200</xdr:colOff>
      <xdr:row>10</xdr:row>
      <xdr:rowOff>12701</xdr:rowOff>
    </xdr:to>
    <xdr:sp macro="" textlink="KPI_Framework!C7">
      <xdr:nvSpPr>
        <xdr:cNvPr id="44" name="Rounded Rectangle 43">
          <a:extLst>
            <a:ext uri="{FF2B5EF4-FFF2-40B4-BE49-F238E27FC236}">
              <a16:creationId xmlns:a16="http://schemas.microsoft.com/office/drawing/2014/main" id="{B74DD9A9-CF2F-2446-8137-7498EFA96EFC}"/>
            </a:ext>
          </a:extLst>
        </xdr:cNvPr>
        <xdr:cNvSpPr/>
      </xdr:nvSpPr>
      <xdr:spPr>
        <a:xfrm>
          <a:off x="9072033" y="1027205"/>
          <a:ext cx="3450167" cy="1017496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55849587-3BDA-5749-BC80-F839C4D4F6A8}" type="TxLink"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47.44%</a:t>
          </a:fld>
          <a:endParaRPr lang="en-US" sz="3600" b="1" i="0" u="none" strike="noStrike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l"/>
          <a:r>
            <a:rPr lang="en-US" sz="1100" b="1" i="0" u="none" strike="noStrike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⚠ 0–12 month churn rate</a:t>
          </a:r>
        </a:p>
      </xdr:txBody>
    </xdr:sp>
    <xdr:clientData/>
  </xdr:twoCellAnchor>
  <xdr:twoCellAnchor>
    <xdr:from>
      <xdr:col>15</xdr:col>
      <xdr:colOff>486833</xdr:colOff>
      <xdr:row>4</xdr:row>
      <xdr:rowOff>201705</xdr:rowOff>
    </xdr:from>
    <xdr:to>
      <xdr:col>19</xdr:col>
      <xdr:colOff>685800</xdr:colOff>
      <xdr:row>10</xdr:row>
      <xdr:rowOff>1</xdr:rowOff>
    </xdr:to>
    <xdr:sp macro="" textlink="KPI_Framework!C8">
      <xdr:nvSpPr>
        <xdr:cNvPr id="45" name="Rounded Rectangle 44">
          <a:extLst>
            <a:ext uri="{FF2B5EF4-FFF2-40B4-BE49-F238E27FC236}">
              <a16:creationId xmlns:a16="http://schemas.microsoft.com/office/drawing/2014/main" id="{0033BD5C-D504-2548-B38B-13F5564F28CF}"/>
            </a:ext>
          </a:extLst>
        </xdr:cNvPr>
        <xdr:cNvSpPr/>
      </xdr:nvSpPr>
      <xdr:spPr>
        <a:xfrm>
          <a:off x="12678833" y="1014505"/>
          <a:ext cx="3450167" cy="1017496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A003411E-6988-9B4E-A7FD-2194C3EA7295}" type="TxLink"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18.0</a:t>
          </a:fld>
          <a:r>
            <a:rPr lang="en-US" sz="3600" b="1" i="0" u="none" strike="noStrike" baseline="0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months</a:t>
          </a:r>
        </a:p>
        <a:p>
          <a:pPr marL="0" indent="0" algn="l"/>
          <a:r>
            <a:rPr lang="en-US" sz="1100" b="1" i="0" u="none" strike="noStrike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Avg tenure churned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89182</xdr:rowOff>
    </xdr:to>
    <xdr:sp macro="" textlink="">
      <xdr:nvSpPr>
        <xdr:cNvPr id="28" name="Rectangl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4CA5B9-3286-715B-4B17-BF71FDBAA283}"/>
            </a:ext>
          </a:extLst>
        </xdr:cNvPr>
        <xdr:cNvSpPr/>
      </xdr:nvSpPr>
      <xdr:spPr>
        <a:xfrm>
          <a:off x="0" y="0"/>
          <a:ext cx="1636889" cy="9966960"/>
        </a:xfrm>
        <a:prstGeom prst="rect">
          <a:avLst/>
        </a:prstGeom>
        <a:solidFill>
          <a:srgbClr val="1F3864"/>
        </a:solidFill>
        <a:ln w="19050" cap="flat" cmpd="sng" algn="ctr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446617</xdr:colOff>
      <xdr:row>2</xdr:row>
      <xdr:rowOff>80433</xdr:rowOff>
    </xdr:from>
    <xdr:to>
      <xdr:col>1</xdr:col>
      <xdr:colOff>370417</xdr:colOff>
      <xdr:row>5</xdr:row>
      <xdr:rowOff>156632</xdr:rowOff>
    </xdr:to>
    <xdr:grpSp>
      <xdr:nvGrpSpPr>
        <xdr:cNvPr id="29" name="Group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990CBE-113F-B420-1D77-7768DBD76850}"/>
            </a:ext>
          </a:extLst>
        </xdr:cNvPr>
        <xdr:cNvGrpSpPr/>
      </xdr:nvGrpSpPr>
      <xdr:grpSpPr>
        <a:xfrm>
          <a:off x="446617" y="475544"/>
          <a:ext cx="742244" cy="668866"/>
          <a:chOff x="853017" y="503766"/>
          <a:chExt cx="800100" cy="685799"/>
        </a:xfrm>
      </xdr:grpSpPr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EF815830-BDB2-EC78-BECA-90224D12921F}"/>
              </a:ext>
            </a:extLst>
          </xdr:cNvPr>
          <xdr:cNvSpPr/>
        </xdr:nvSpPr>
        <xdr:spPr>
          <a:xfrm>
            <a:off x="853017" y="503766"/>
            <a:ext cx="800100" cy="417194"/>
          </a:xfrm>
          <a:custGeom>
            <a:avLst/>
            <a:gdLst>
              <a:gd name="csX0" fmla="*/ 628650 w 800100"/>
              <a:gd name="csY0" fmla="*/ 217170 h 417194"/>
              <a:gd name="csX1" fmla="*/ 628650 w 800100"/>
              <a:gd name="csY1" fmla="*/ 57150 h 417194"/>
              <a:gd name="csX2" fmla="*/ 552450 w 800100"/>
              <a:gd name="csY2" fmla="*/ 57150 h 417194"/>
              <a:gd name="csX3" fmla="*/ 552450 w 800100"/>
              <a:gd name="csY3" fmla="*/ 144780 h 417194"/>
              <a:gd name="csX4" fmla="*/ 400050 w 800100"/>
              <a:gd name="csY4" fmla="*/ 0 h 417194"/>
              <a:gd name="csX5" fmla="*/ 400050 w 800100"/>
              <a:gd name="csY5" fmla="*/ 0 h 417194"/>
              <a:gd name="csX6" fmla="*/ 0 w 800100"/>
              <a:gd name="csY6" fmla="*/ 381000 h 417194"/>
              <a:gd name="csX7" fmla="*/ 42863 w 800100"/>
              <a:gd name="csY7" fmla="*/ 417195 h 417194"/>
              <a:gd name="csX8" fmla="*/ 400050 w 800100"/>
              <a:gd name="csY8" fmla="*/ 78105 h 417194"/>
              <a:gd name="csX9" fmla="*/ 400050 w 800100"/>
              <a:gd name="csY9" fmla="*/ 78105 h 417194"/>
              <a:gd name="csX10" fmla="*/ 757238 w 800100"/>
              <a:gd name="csY10" fmla="*/ 417195 h 417194"/>
              <a:gd name="csX11" fmla="*/ 800100 w 800100"/>
              <a:gd name="csY11" fmla="*/ 381000 h 41719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</a:cxnLst>
            <a:rect l="l" t="t" r="r" b="b"/>
            <a:pathLst>
              <a:path w="800100" h="417194">
                <a:moveTo>
                  <a:pt x="628650" y="217170"/>
                </a:moveTo>
                <a:lnTo>
                  <a:pt x="628650" y="57150"/>
                </a:lnTo>
                <a:lnTo>
                  <a:pt x="552450" y="57150"/>
                </a:lnTo>
                <a:lnTo>
                  <a:pt x="552450" y="144780"/>
                </a:lnTo>
                <a:lnTo>
                  <a:pt x="400050" y="0"/>
                </a:lnTo>
                <a:lnTo>
                  <a:pt x="400050" y="0"/>
                </a:lnTo>
                <a:lnTo>
                  <a:pt x="0" y="381000"/>
                </a:lnTo>
                <a:lnTo>
                  <a:pt x="42863" y="417195"/>
                </a:lnTo>
                <a:lnTo>
                  <a:pt x="400050" y="78105"/>
                </a:lnTo>
                <a:lnTo>
                  <a:pt x="400050" y="78105"/>
                </a:lnTo>
                <a:lnTo>
                  <a:pt x="757238" y="417195"/>
                </a:lnTo>
                <a:lnTo>
                  <a:pt x="800100" y="381000"/>
                </a:lnTo>
                <a:close/>
              </a:path>
            </a:pathLst>
          </a:custGeom>
          <a:solidFill>
            <a:srgbClr val="C00000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C655E324-FD5F-520E-5309-52776F3AD35B}"/>
              </a:ext>
            </a:extLst>
          </xdr:cNvPr>
          <xdr:cNvSpPr/>
        </xdr:nvSpPr>
        <xdr:spPr>
          <a:xfrm>
            <a:off x="967317" y="635210"/>
            <a:ext cx="571500" cy="554355"/>
          </a:xfrm>
          <a:custGeom>
            <a:avLst/>
            <a:gdLst>
              <a:gd name="csX0" fmla="*/ 0 w 571500"/>
              <a:gd name="csY0" fmla="*/ 271463 h 554355"/>
              <a:gd name="csX1" fmla="*/ 0 w 571500"/>
              <a:gd name="csY1" fmla="*/ 554355 h 554355"/>
              <a:gd name="csX2" fmla="*/ 228600 w 571500"/>
              <a:gd name="csY2" fmla="*/ 554355 h 554355"/>
              <a:gd name="csX3" fmla="*/ 228600 w 571500"/>
              <a:gd name="csY3" fmla="*/ 316230 h 554355"/>
              <a:gd name="csX4" fmla="*/ 342900 w 571500"/>
              <a:gd name="csY4" fmla="*/ 316230 h 554355"/>
              <a:gd name="csX5" fmla="*/ 342900 w 571500"/>
              <a:gd name="csY5" fmla="*/ 554355 h 554355"/>
              <a:gd name="csX6" fmla="*/ 571500 w 571500"/>
              <a:gd name="csY6" fmla="*/ 554355 h 554355"/>
              <a:gd name="csX7" fmla="*/ 571500 w 571500"/>
              <a:gd name="csY7" fmla="*/ 271463 h 554355"/>
              <a:gd name="csX8" fmla="*/ 285750 w 571500"/>
              <a:gd name="csY8" fmla="*/ 0 h 554355"/>
              <a:gd name="csX9" fmla="*/ 0 w 571500"/>
              <a:gd name="csY9" fmla="*/ 271463 h 554355"/>
              <a:gd name="csX10" fmla="*/ 171450 w 571500"/>
              <a:gd name="csY10" fmla="*/ 430530 h 554355"/>
              <a:gd name="csX11" fmla="*/ 57150 w 571500"/>
              <a:gd name="csY11" fmla="*/ 430530 h 554355"/>
              <a:gd name="csX12" fmla="*/ 57150 w 571500"/>
              <a:gd name="csY12" fmla="*/ 316230 h 554355"/>
              <a:gd name="csX13" fmla="*/ 171450 w 571500"/>
              <a:gd name="csY13" fmla="*/ 316230 h 554355"/>
              <a:gd name="csX14" fmla="*/ 171450 w 571500"/>
              <a:gd name="csY14" fmla="*/ 430530 h 554355"/>
              <a:gd name="csX15" fmla="*/ 400050 w 571500"/>
              <a:gd name="csY15" fmla="*/ 316230 h 554355"/>
              <a:gd name="csX16" fmla="*/ 514350 w 571500"/>
              <a:gd name="csY16" fmla="*/ 316230 h 554355"/>
              <a:gd name="csX17" fmla="*/ 514350 w 571500"/>
              <a:gd name="csY17" fmla="*/ 430530 h 554355"/>
              <a:gd name="csX18" fmla="*/ 400050 w 571500"/>
              <a:gd name="csY18" fmla="*/ 430530 h 554355"/>
              <a:gd name="csX19" fmla="*/ 400050 w 571500"/>
              <a:gd name="csY19" fmla="*/ 316230 h 5543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571500" h="554355">
                <a:moveTo>
                  <a:pt x="0" y="271463"/>
                </a:moveTo>
                <a:lnTo>
                  <a:pt x="0" y="554355"/>
                </a:lnTo>
                <a:lnTo>
                  <a:pt x="228600" y="554355"/>
                </a:lnTo>
                <a:lnTo>
                  <a:pt x="228600" y="316230"/>
                </a:lnTo>
                <a:lnTo>
                  <a:pt x="342900" y="316230"/>
                </a:lnTo>
                <a:lnTo>
                  <a:pt x="342900" y="554355"/>
                </a:lnTo>
                <a:lnTo>
                  <a:pt x="571500" y="554355"/>
                </a:lnTo>
                <a:lnTo>
                  <a:pt x="571500" y="271463"/>
                </a:lnTo>
                <a:lnTo>
                  <a:pt x="285750" y="0"/>
                </a:lnTo>
                <a:lnTo>
                  <a:pt x="0" y="271463"/>
                </a:lnTo>
                <a:close/>
                <a:moveTo>
                  <a:pt x="171450" y="430530"/>
                </a:moveTo>
                <a:lnTo>
                  <a:pt x="57150" y="430530"/>
                </a:lnTo>
                <a:lnTo>
                  <a:pt x="57150" y="316230"/>
                </a:lnTo>
                <a:lnTo>
                  <a:pt x="171450" y="316230"/>
                </a:lnTo>
                <a:lnTo>
                  <a:pt x="171450" y="430530"/>
                </a:lnTo>
                <a:close/>
                <a:moveTo>
                  <a:pt x="400050" y="316230"/>
                </a:moveTo>
                <a:lnTo>
                  <a:pt x="514350" y="316230"/>
                </a:lnTo>
                <a:lnTo>
                  <a:pt x="514350" y="430530"/>
                </a:lnTo>
                <a:lnTo>
                  <a:pt x="400050" y="430530"/>
                </a:lnTo>
                <a:lnTo>
                  <a:pt x="400050" y="316230"/>
                </a:lnTo>
                <a:close/>
              </a:path>
            </a:pathLst>
          </a:custGeom>
          <a:solidFill>
            <a:srgbClr val="E97132">
              <a:lumMod val="20000"/>
              <a:lumOff val="80000"/>
            </a:srgbClr>
          </a:solidFill>
          <a:ln w="9525" cap="flat">
            <a:noFill/>
            <a:prstDash val="solid"/>
            <a:miter/>
          </a:ln>
        </xdr:spPr>
      </xdr:sp>
    </xdr:grpSp>
    <xdr:clientData/>
  </xdr:twoCellAnchor>
  <xdr:twoCellAnchor>
    <xdr:from>
      <xdr:col>0</xdr:col>
      <xdr:colOff>355602</xdr:colOff>
      <xdr:row>8</xdr:row>
      <xdr:rowOff>16933</xdr:rowOff>
    </xdr:from>
    <xdr:to>
      <xdr:col>1</xdr:col>
      <xdr:colOff>457202</xdr:colOff>
      <xdr:row>12</xdr:row>
      <xdr:rowOff>118533</xdr:rowOff>
    </xdr:to>
    <xdr:pic>
      <xdr:nvPicPr>
        <xdr:cNvPr id="30" name="Graphic 29" descr="User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B28FEB-DAB5-3D0B-D2D2-7D92E034E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55602" y="1642533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444496</xdr:colOff>
      <xdr:row>14</xdr:row>
      <xdr:rowOff>138854</xdr:rowOff>
    </xdr:from>
    <xdr:to>
      <xdr:col>1</xdr:col>
      <xdr:colOff>368296</xdr:colOff>
      <xdr:row>17</xdr:row>
      <xdr:rowOff>169334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536F73E-F92C-0B27-5753-E0F5226B56FF}"/>
            </a:ext>
          </a:extLst>
        </xdr:cNvPr>
        <xdr:cNvGrpSpPr/>
      </xdr:nvGrpSpPr>
      <xdr:grpSpPr>
        <a:xfrm>
          <a:off x="444496" y="2904632"/>
          <a:ext cx="742244" cy="623146"/>
          <a:chOff x="444496" y="2983654"/>
          <a:chExt cx="736600" cy="640080"/>
        </a:xfrm>
      </xdr:grpSpPr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D94A6FBA-DEAB-5625-9C97-176FCD9E366B}"/>
              </a:ext>
            </a:extLst>
          </xdr:cNvPr>
          <xdr:cNvSpPr/>
        </xdr:nvSpPr>
        <xdr:spPr>
          <a:xfrm>
            <a:off x="444496" y="3241552"/>
            <a:ext cx="736600" cy="382182"/>
          </a:xfrm>
          <a:custGeom>
            <a:avLst/>
            <a:gdLst>
              <a:gd name="csX0" fmla="*/ 781050 w 838200"/>
              <a:gd name="csY0" fmla="*/ 295275 h 381000"/>
              <a:gd name="csX1" fmla="*/ 752475 w 838200"/>
              <a:gd name="csY1" fmla="*/ 323850 h 381000"/>
              <a:gd name="csX2" fmla="*/ 95250 w 838200"/>
              <a:gd name="csY2" fmla="*/ 323850 h 381000"/>
              <a:gd name="csX3" fmla="*/ 57150 w 838200"/>
              <a:gd name="csY3" fmla="*/ 285750 h 381000"/>
              <a:gd name="csX4" fmla="*/ 57150 w 838200"/>
              <a:gd name="csY4" fmla="*/ 95250 h 381000"/>
              <a:gd name="csX5" fmla="*/ 95250 w 838200"/>
              <a:gd name="csY5" fmla="*/ 57150 h 381000"/>
              <a:gd name="csX6" fmla="*/ 752475 w 838200"/>
              <a:gd name="csY6" fmla="*/ 57150 h 381000"/>
              <a:gd name="csX7" fmla="*/ 781050 w 838200"/>
              <a:gd name="csY7" fmla="*/ 85725 h 381000"/>
              <a:gd name="csX8" fmla="*/ 781050 w 838200"/>
              <a:gd name="csY8" fmla="*/ 295275 h 381000"/>
              <a:gd name="csX9" fmla="*/ 0 w 838200"/>
              <a:gd name="csY9" fmla="*/ 0 h 381000"/>
              <a:gd name="csX10" fmla="*/ 0 w 838200"/>
              <a:gd name="csY10" fmla="*/ 381000 h 381000"/>
              <a:gd name="csX11" fmla="*/ 838200 w 838200"/>
              <a:gd name="csY11" fmla="*/ 381000 h 381000"/>
              <a:gd name="csX12" fmla="*/ 838200 w 838200"/>
              <a:gd name="csY12" fmla="*/ 0 h 381000"/>
              <a:gd name="csX13" fmla="*/ 0 w 838200"/>
              <a:gd name="csY13" fmla="*/ 0 h 38100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</a:cxnLst>
            <a:rect l="l" t="t" r="r" b="b"/>
            <a:pathLst>
              <a:path w="838200" h="381000">
                <a:moveTo>
                  <a:pt x="781050" y="295275"/>
                </a:moveTo>
                <a:lnTo>
                  <a:pt x="752475" y="323850"/>
                </a:lnTo>
                <a:lnTo>
                  <a:pt x="95250" y="323850"/>
                </a:lnTo>
                <a:lnTo>
                  <a:pt x="57150" y="285750"/>
                </a:lnTo>
                <a:lnTo>
                  <a:pt x="57150" y="95250"/>
                </a:lnTo>
                <a:lnTo>
                  <a:pt x="95250" y="57150"/>
                </a:lnTo>
                <a:lnTo>
                  <a:pt x="752475" y="57150"/>
                </a:lnTo>
                <a:lnTo>
                  <a:pt x="781050" y="85725"/>
                </a:lnTo>
                <a:lnTo>
                  <a:pt x="781050" y="295275"/>
                </a:lnTo>
                <a:close/>
                <a:moveTo>
                  <a:pt x="0" y="0"/>
                </a:moveTo>
                <a:lnTo>
                  <a:pt x="0" y="381000"/>
                </a:lnTo>
                <a:lnTo>
                  <a:pt x="838200" y="381000"/>
                </a:lnTo>
                <a:lnTo>
                  <a:pt x="838200" y="0"/>
                </a:lnTo>
                <a:lnTo>
                  <a:pt x="0" y="0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A30AC1B5-9041-5630-DB41-D40FEBA6ECB9}"/>
              </a:ext>
            </a:extLst>
          </xdr:cNvPr>
          <xdr:cNvSpPr/>
        </xdr:nvSpPr>
        <xdr:spPr>
          <a:xfrm>
            <a:off x="745832" y="3337474"/>
            <a:ext cx="133927" cy="190339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3624129F-0A8B-8E3E-63DA-5167189B81C6}"/>
              </a:ext>
            </a:extLst>
          </xdr:cNvPr>
          <xdr:cNvSpPr/>
        </xdr:nvSpPr>
        <xdr:spPr>
          <a:xfrm>
            <a:off x="578423" y="3404619"/>
            <a:ext cx="50223" cy="56048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981E6DA0-33B7-9677-A720-0705198BD263}"/>
              </a:ext>
            </a:extLst>
          </xdr:cNvPr>
          <xdr:cNvSpPr/>
        </xdr:nvSpPr>
        <xdr:spPr>
          <a:xfrm>
            <a:off x="996946" y="3404619"/>
            <a:ext cx="50223" cy="56048"/>
          </a:xfrm>
          <a:prstGeom prst="ellipse">
            <a:avLst/>
          </a:pr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37" name="Freeform 36">
            <a:extLst>
              <a:ext uri="{FF2B5EF4-FFF2-40B4-BE49-F238E27FC236}">
                <a16:creationId xmlns:a16="http://schemas.microsoft.com/office/drawing/2014/main" id="{EA637915-F847-1173-C596-EAFB25AF61FB}"/>
              </a:ext>
            </a:extLst>
          </xdr:cNvPr>
          <xdr:cNvSpPr/>
        </xdr:nvSpPr>
        <xdr:spPr>
          <a:xfrm>
            <a:off x="539918" y="2983654"/>
            <a:ext cx="485486" cy="209522"/>
          </a:xfrm>
          <a:custGeom>
            <a:avLst/>
            <a:gdLst>
              <a:gd name="csX0" fmla="*/ 481013 w 552450"/>
              <a:gd name="csY0" fmla="*/ 75248 h 209549"/>
              <a:gd name="csX1" fmla="*/ 495300 w 552450"/>
              <a:gd name="csY1" fmla="*/ 111443 h 209549"/>
              <a:gd name="csX2" fmla="*/ 552450 w 552450"/>
              <a:gd name="csY2" fmla="*/ 100012 h 209549"/>
              <a:gd name="csX3" fmla="*/ 512445 w 552450"/>
              <a:gd name="csY3" fmla="*/ 0 h 209549"/>
              <a:gd name="csX4" fmla="*/ 0 w 552450"/>
              <a:gd name="csY4" fmla="*/ 209550 h 209549"/>
              <a:gd name="csX5" fmla="*/ 293370 w 552450"/>
              <a:gd name="csY5" fmla="*/ 151448 h 20954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552450" h="209549">
                <a:moveTo>
                  <a:pt x="481013" y="75248"/>
                </a:moveTo>
                <a:lnTo>
                  <a:pt x="495300" y="111443"/>
                </a:lnTo>
                <a:lnTo>
                  <a:pt x="552450" y="100012"/>
                </a:lnTo>
                <a:lnTo>
                  <a:pt x="512445" y="0"/>
                </a:lnTo>
                <a:lnTo>
                  <a:pt x="0" y="209550"/>
                </a:lnTo>
                <a:lnTo>
                  <a:pt x="293370" y="151448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DF27D0C4-D1DA-22FC-C176-3F527032E008}"/>
              </a:ext>
            </a:extLst>
          </xdr:cNvPr>
          <xdr:cNvSpPr/>
        </xdr:nvSpPr>
        <xdr:spPr>
          <a:xfrm>
            <a:off x="662128" y="3106847"/>
            <a:ext cx="446145" cy="97840"/>
          </a:xfrm>
          <a:custGeom>
            <a:avLst/>
            <a:gdLst>
              <a:gd name="csX0" fmla="*/ 292418 w 507682"/>
              <a:gd name="csY0" fmla="*/ 97155 h 97155"/>
              <a:gd name="csX1" fmla="*/ 442913 w 507682"/>
              <a:gd name="csY1" fmla="*/ 67628 h 97155"/>
              <a:gd name="csX2" fmla="*/ 449580 w 507682"/>
              <a:gd name="csY2" fmla="*/ 97155 h 97155"/>
              <a:gd name="csX3" fmla="*/ 507683 w 507682"/>
              <a:gd name="csY3" fmla="*/ 97155 h 97155"/>
              <a:gd name="csX4" fmla="*/ 488633 w 507682"/>
              <a:gd name="csY4" fmla="*/ 0 h 97155"/>
              <a:gd name="csX5" fmla="*/ 0 w 507682"/>
              <a:gd name="csY5" fmla="*/ 97155 h 971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507682" h="97155">
                <a:moveTo>
                  <a:pt x="292418" y="97155"/>
                </a:moveTo>
                <a:lnTo>
                  <a:pt x="442913" y="67628"/>
                </a:lnTo>
                <a:lnTo>
                  <a:pt x="449580" y="97155"/>
                </a:lnTo>
                <a:lnTo>
                  <a:pt x="507683" y="97155"/>
                </a:lnTo>
                <a:lnTo>
                  <a:pt x="488633" y="0"/>
                </a:lnTo>
                <a:lnTo>
                  <a:pt x="0" y="97155"/>
                </a:lnTo>
                <a:close/>
              </a:path>
            </a:pathLst>
          </a:custGeom>
          <a:solidFill>
            <a:srgbClr val="C9A84C"/>
          </a:solidFill>
          <a:ln w="9525" cap="flat">
            <a:noFill/>
            <a:prstDash val="solid"/>
            <a:miter/>
          </a:ln>
        </xdr:spPr>
      </xdr:sp>
    </xdr:grpSp>
    <xdr:clientData/>
  </xdr:twoCellAnchor>
  <xdr:twoCellAnchor>
    <xdr:from>
      <xdr:col>0</xdr:col>
      <xdr:colOff>402055</xdr:colOff>
      <xdr:row>21</xdr:row>
      <xdr:rowOff>78078</xdr:rowOff>
    </xdr:from>
    <xdr:to>
      <xdr:col>1</xdr:col>
      <xdr:colOff>347246</xdr:colOff>
      <xdr:row>24</xdr:row>
      <xdr:rowOff>192616</xdr:rowOff>
    </xdr:to>
    <xdr:sp macro="" textlink="">
      <xdr:nvSpPr>
        <xdr:cNvPr id="32" name="Graphic 8" descr="Warning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973BE4-AD0E-12F6-CCD3-99F2E27A0CF8}"/>
            </a:ext>
          </a:extLst>
        </xdr:cNvPr>
        <xdr:cNvSpPr/>
      </xdr:nvSpPr>
      <xdr:spPr>
        <a:xfrm>
          <a:off x="402055" y="4345278"/>
          <a:ext cx="757991" cy="724138"/>
        </a:xfrm>
        <a:custGeom>
          <a:avLst/>
          <a:gdLst>
            <a:gd name="csX0" fmla="*/ 816511 w 821491"/>
            <a:gd name="csY0" fmla="*/ 666988 h 724138"/>
            <a:gd name="csX1" fmla="*/ 444083 w 821491"/>
            <a:gd name="csY1" fmla="*/ 19288 h 724138"/>
            <a:gd name="csX2" fmla="*/ 378361 w 821491"/>
            <a:gd name="csY2" fmla="*/ 19288 h 724138"/>
            <a:gd name="csX3" fmla="*/ 4981 w 821491"/>
            <a:gd name="csY3" fmla="*/ 666988 h 724138"/>
            <a:gd name="csX4" fmla="*/ 38318 w 821491"/>
            <a:gd name="csY4" fmla="*/ 724138 h 724138"/>
            <a:gd name="csX5" fmla="*/ 410746 w 821491"/>
            <a:gd name="csY5" fmla="*/ 724138 h 724138"/>
            <a:gd name="csX6" fmla="*/ 783173 w 821491"/>
            <a:gd name="csY6" fmla="*/ 724138 h 724138"/>
            <a:gd name="csX7" fmla="*/ 816511 w 821491"/>
            <a:gd name="csY7" fmla="*/ 666988 h 724138"/>
            <a:gd name="csX8" fmla="*/ 382171 w 821491"/>
            <a:gd name="csY8" fmla="*/ 171688 h 724138"/>
            <a:gd name="csX9" fmla="*/ 439321 w 821491"/>
            <a:gd name="csY9" fmla="*/ 171688 h 724138"/>
            <a:gd name="csX10" fmla="*/ 439321 w 821491"/>
            <a:gd name="csY10" fmla="*/ 505063 h 724138"/>
            <a:gd name="csX11" fmla="*/ 382171 w 821491"/>
            <a:gd name="csY11" fmla="*/ 505063 h 724138"/>
            <a:gd name="csX12" fmla="*/ 382171 w 821491"/>
            <a:gd name="csY12" fmla="*/ 171688 h 724138"/>
            <a:gd name="csX13" fmla="*/ 410746 w 821491"/>
            <a:gd name="csY13" fmla="*/ 638413 h 724138"/>
            <a:gd name="csX14" fmla="*/ 363121 w 821491"/>
            <a:gd name="csY14" fmla="*/ 590788 h 724138"/>
            <a:gd name="csX15" fmla="*/ 410746 w 821491"/>
            <a:gd name="csY15" fmla="*/ 543163 h 724138"/>
            <a:gd name="csX16" fmla="*/ 458371 w 821491"/>
            <a:gd name="csY16" fmla="*/ 590788 h 724138"/>
            <a:gd name="csX17" fmla="*/ 410746 w 821491"/>
            <a:gd name="csY17" fmla="*/ 638413 h 7241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</a:cxnLst>
          <a:rect l="l" t="t" r="r" b="b"/>
          <a:pathLst>
            <a:path w="821491" h="724138">
              <a:moveTo>
                <a:pt x="816511" y="666988"/>
              </a:moveTo>
              <a:lnTo>
                <a:pt x="444083" y="19288"/>
              </a:lnTo>
              <a:cubicBezTo>
                <a:pt x="429796" y="-6429"/>
                <a:pt x="392648" y="-6429"/>
                <a:pt x="378361" y="19288"/>
              </a:cubicBezTo>
              <a:lnTo>
                <a:pt x="4981" y="666988"/>
              </a:lnTo>
              <a:cubicBezTo>
                <a:pt x="-9307" y="692706"/>
                <a:pt x="8791" y="724138"/>
                <a:pt x="38318" y="724138"/>
              </a:cubicBezTo>
              <a:lnTo>
                <a:pt x="410746" y="724138"/>
              </a:lnTo>
              <a:lnTo>
                <a:pt x="783173" y="724138"/>
              </a:lnTo>
              <a:cubicBezTo>
                <a:pt x="812701" y="724138"/>
                <a:pt x="830798" y="692706"/>
                <a:pt x="816511" y="666988"/>
              </a:cubicBezTo>
              <a:close/>
              <a:moveTo>
                <a:pt x="382171" y="171688"/>
              </a:moveTo>
              <a:lnTo>
                <a:pt x="439321" y="171688"/>
              </a:lnTo>
              <a:lnTo>
                <a:pt x="439321" y="505063"/>
              </a:lnTo>
              <a:lnTo>
                <a:pt x="382171" y="505063"/>
              </a:lnTo>
              <a:lnTo>
                <a:pt x="382171" y="171688"/>
              </a:lnTo>
              <a:close/>
              <a:moveTo>
                <a:pt x="410746" y="638413"/>
              </a:moveTo>
              <a:cubicBezTo>
                <a:pt x="384076" y="638413"/>
                <a:pt x="363121" y="617458"/>
                <a:pt x="363121" y="590788"/>
              </a:cubicBezTo>
              <a:cubicBezTo>
                <a:pt x="363121" y="564118"/>
                <a:pt x="384076" y="543163"/>
                <a:pt x="410746" y="543163"/>
              </a:cubicBezTo>
              <a:cubicBezTo>
                <a:pt x="437416" y="543163"/>
                <a:pt x="458371" y="564118"/>
                <a:pt x="458371" y="590788"/>
              </a:cubicBezTo>
              <a:cubicBezTo>
                <a:pt x="458371" y="617458"/>
                <a:pt x="437416" y="638413"/>
                <a:pt x="410746" y="638413"/>
              </a:cubicBezTo>
              <a:close/>
            </a:path>
          </a:pathLst>
        </a:custGeom>
        <a:solidFill>
          <a:sysClr val="window" lastClr="FFFFFF"/>
        </a:solidFill>
        <a:ln w="9525" cap="flat">
          <a:noFill/>
          <a:prstDash val="solid"/>
          <a:miter/>
        </a:ln>
      </xdr:spPr>
    </xdr:sp>
    <xdr:clientData/>
  </xdr:twoCellAnchor>
  <xdr:twoCellAnchor>
    <xdr:from>
      <xdr:col>2</xdr:col>
      <xdr:colOff>212727</xdr:colOff>
      <xdr:row>0</xdr:row>
      <xdr:rowOff>177801</xdr:rowOff>
    </xdr:from>
    <xdr:to>
      <xdr:col>19</xdr:col>
      <xdr:colOff>689428</xdr:colOff>
      <xdr:row>4</xdr:row>
      <xdr:rowOff>38100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D02B47CF-0E11-B5DF-AC14-7D03043F1BAE}"/>
            </a:ext>
          </a:extLst>
        </xdr:cNvPr>
        <xdr:cNvSpPr/>
      </xdr:nvSpPr>
      <xdr:spPr>
        <a:xfrm>
          <a:off x="1845584" y="177801"/>
          <a:ext cx="14355987" cy="658585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Churned Customers Were Paying £1.67M a Year</a:t>
          </a:r>
        </a:p>
      </xdr:txBody>
    </xdr:sp>
    <xdr:clientData/>
  </xdr:twoCellAnchor>
  <xdr:twoCellAnchor>
    <xdr:from>
      <xdr:col>2</xdr:col>
      <xdr:colOff>220133</xdr:colOff>
      <xdr:row>4</xdr:row>
      <xdr:rowOff>201705</xdr:rowOff>
    </xdr:from>
    <xdr:to>
      <xdr:col>5</xdr:col>
      <xdr:colOff>431800</xdr:colOff>
      <xdr:row>10</xdr:row>
      <xdr:rowOff>1</xdr:rowOff>
    </xdr:to>
    <xdr:sp macro="" textlink="KPI_Framework!C5">
      <xdr:nvSpPr>
        <xdr:cNvPr id="42" name="Rounded Rectangle 41">
          <a:extLst>
            <a:ext uri="{FF2B5EF4-FFF2-40B4-BE49-F238E27FC236}">
              <a16:creationId xmlns:a16="http://schemas.microsoft.com/office/drawing/2014/main" id="{70A4E589-C80B-CB47-ADA9-4A5049E74882}"/>
            </a:ext>
          </a:extLst>
        </xdr:cNvPr>
        <xdr:cNvSpPr/>
      </xdr:nvSpPr>
      <xdr:spPr>
        <a:xfrm>
          <a:off x="1848721" y="1008529"/>
          <a:ext cx="2654550" cy="1008531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DE2D1C5-8F8A-3E46-AF0C-62AC690EE421}" type="TxLink"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cs typeface="Arial" panose="020B0604020202020204" pitchFamily="34" charset="0"/>
            </a:rPr>
            <a:pPr algn="l"/>
            <a:t>26.54%</a:t>
          </a:fld>
          <a:endParaRPr lang="en-US" sz="3600" b="1" i="0" u="none" strike="noStrike">
            <a:solidFill>
              <a:srgbClr val="C9A84C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G" sz="1200"/>
            <a:t>📉</a:t>
          </a:r>
          <a:r>
            <a:rPr lang="en-NG" sz="1200" baseline="0"/>
            <a:t> </a:t>
          </a:r>
          <a:r>
            <a:rPr lang="en-US" sz="1100" b="1" i="0" u="none" strike="noStrike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Overall Churn Rate</a:t>
          </a:r>
        </a:p>
      </xdr:txBody>
    </xdr:sp>
    <xdr:clientData/>
  </xdr:twoCellAnchor>
  <xdr:twoCellAnchor>
    <xdr:from>
      <xdr:col>2</xdr:col>
      <xdr:colOff>194735</xdr:colOff>
      <xdr:row>41</xdr:row>
      <xdr:rowOff>6348</xdr:rowOff>
    </xdr:from>
    <xdr:to>
      <xdr:col>19</xdr:col>
      <xdr:colOff>666751</xdr:colOff>
      <xdr:row>50</xdr:row>
      <xdr:rowOff>12700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F34D3103-27AA-4547-BBCC-0877075BF5F4}"/>
            </a:ext>
          </a:extLst>
        </xdr:cNvPr>
        <xdr:cNvSpPr/>
      </xdr:nvSpPr>
      <xdr:spPr>
        <a:xfrm>
          <a:off x="1820335" y="8337548"/>
          <a:ext cx="14289616" cy="1835152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212725</xdr:colOff>
      <xdr:row>2</xdr:row>
      <xdr:rowOff>136769</xdr:rowOff>
    </xdr:from>
    <xdr:to>
      <xdr:col>19</xdr:col>
      <xdr:colOff>689428</xdr:colOff>
      <xdr:row>4</xdr:row>
      <xdr:rowOff>39077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3BC25510-2989-73CE-E373-FF5850ADACA3}"/>
            </a:ext>
          </a:extLst>
        </xdr:cNvPr>
        <xdr:cNvSpPr/>
      </xdr:nvSpPr>
      <xdr:spPr>
        <a:xfrm>
          <a:off x="1845582" y="535912"/>
          <a:ext cx="14355989" cy="301451"/>
        </a:xfrm>
        <a:prstGeom prst="rect">
          <a:avLst/>
        </a:prstGeom>
        <a:solidFill>
          <a:srgbClr val="DAE3F3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900" i="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Month-to-month customers record the highest churn rate (42.7%) while also contributing the largest share of monthly revenue (56.4%).</a:t>
          </a:r>
        </a:p>
      </xdr:txBody>
    </xdr:sp>
    <xdr:clientData/>
  </xdr:twoCellAnchor>
  <xdr:twoCellAnchor>
    <xdr:from>
      <xdr:col>5</xdr:col>
      <xdr:colOff>692060</xdr:colOff>
      <xdr:row>5</xdr:row>
      <xdr:rowOff>3736</xdr:rowOff>
    </xdr:from>
    <xdr:to>
      <xdr:col>9</xdr:col>
      <xdr:colOff>90927</xdr:colOff>
      <xdr:row>10</xdr:row>
      <xdr:rowOff>0</xdr:rowOff>
    </xdr:to>
    <xdr:sp macro="" textlink="">
      <xdr:nvSpPr>
        <xdr:cNvPr id="46" name="Rounded Rectangle 45">
          <a:extLst>
            <a:ext uri="{FF2B5EF4-FFF2-40B4-BE49-F238E27FC236}">
              <a16:creationId xmlns:a16="http://schemas.microsoft.com/office/drawing/2014/main" id="{EDD0036B-A597-0B43-9AF6-3E29113D4DD2}"/>
            </a:ext>
          </a:extLst>
        </xdr:cNvPr>
        <xdr:cNvSpPr/>
      </xdr:nvSpPr>
      <xdr:spPr>
        <a:xfrm>
          <a:off x="4756060" y="1019736"/>
          <a:ext cx="2650067" cy="1012264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3600" b="1">
              <a:solidFill>
                <a:srgbClr val="C9A84C"/>
              </a:solidFill>
              <a:latin typeface="Arial" panose="020B0604020202020204" pitchFamily="34" charset="0"/>
              <a:cs typeface="Arial" panose="020B0604020202020204" pitchFamily="34" charset="0"/>
            </a:rPr>
            <a:t>£139K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G"/>
            <a:t>💷</a:t>
          </a:r>
          <a:r>
            <a:rPr lang="en-NG" sz="1100" b="1">
              <a:solidFill>
                <a:srgbClr val="A9B4C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Monthly revenue lost</a:t>
          </a:r>
        </a:p>
      </xdr:txBody>
    </xdr:sp>
    <xdr:clientData/>
  </xdr:twoCellAnchor>
  <xdr:twoCellAnchor>
    <xdr:from>
      <xdr:col>9</xdr:col>
      <xdr:colOff>341690</xdr:colOff>
      <xdr:row>5</xdr:row>
      <xdr:rowOff>3736</xdr:rowOff>
    </xdr:from>
    <xdr:to>
      <xdr:col>12</xdr:col>
      <xdr:colOff>553357</xdr:colOff>
      <xdr:row>10</xdr:row>
      <xdr:rowOff>2</xdr:rowOff>
    </xdr:to>
    <xdr:sp macro="" textlink="KPI_Framework!C10">
      <xdr:nvSpPr>
        <xdr:cNvPr id="47" name="Rounded Rectangle 46">
          <a:extLst>
            <a:ext uri="{FF2B5EF4-FFF2-40B4-BE49-F238E27FC236}">
              <a16:creationId xmlns:a16="http://schemas.microsoft.com/office/drawing/2014/main" id="{F3A21DAD-DB6B-ED48-8680-29B5B1461C5C}"/>
            </a:ext>
          </a:extLst>
        </xdr:cNvPr>
        <xdr:cNvSpPr/>
      </xdr:nvSpPr>
      <xdr:spPr>
        <a:xfrm>
          <a:off x="7656890" y="1019736"/>
          <a:ext cx="2650067" cy="1012266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35965240-AEA7-1E45-A35A-83E3A5D6C81F}" type="TxLink">
            <a:rPr lang="en-US" sz="3600" b="1">
              <a:solidFill>
                <a:srgbClr val="C9A84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30.50%</a:t>
          </a:fld>
          <a:endParaRPr lang="en-US" sz="3600" b="1">
            <a:solidFill>
              <a:srgbClr val="C9A84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G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 </a:t>
          </a:r>
          <a:r>
            <a:rPr lang="en-NG" sz="1100" b="1">
              <a:solidFill>
                <a:srgbClr val="A9B4C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Revenue lost to churn</a:t>
          </a:r>
        </a:p>
      </xdr:txBody>
    </xdr:sp>
    <xdr:clientData/>
  </xdr:twoCellAnchor>
  <xdr:twoCellAnchor>
    <xdr:from>
      <xdr:col>13</xdr:col>
      <xdr:colOff>13305</xdr:colOff>
      <xdr:row>5</xdr:row>
      <xdr:rowOff>3736</xdr:rowOff>
    </xdr:from>
    <xdr:to>
      <xdr:col>16</xdr:col>
      <xdr:colOff>224972</xdr:colOff>
      <xdr:row>10</xdr:row>
      <xdr:rowOff>1</xdr:rowOff>
    </xdr:to>
    <xdr:sp macro="" textlink="Segment_Risk!G2">
      <xdr:nvSpPr>
        <xdr:cNvPr id="48" name="Rounded Rectangle 47">
          <a:extLst>
            <a:ext uri="{FF2B5EF4-FFF2-40B4-BE49-F238E27FC236}">
              <a16:creationId xmlns:a16="http://schemas.microsoft.com/office/drawing/2014/main" id="{6D5A1544-2B8A-A544-8A91-8B361EAF6385}"/>
            </a:ext>
          </a:extLst>
        </xdr:cNvPr>
        <xdr:cNvSpPr/>
      </xdr:nvSpPr>
      <xdr:spPr>
        <a:xfrm>
          <a:off x="10579705" y="1019736"/>
          <a:ext cx="2650067" cy="1012265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cs typeface="Arial" panose="020B0604020202020204" pitchFamily="34" charset="0"/>
            </a:rPr>
            <a:t>56.41%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G"/>
            <a:t>📄</a:t>
          </a:r>
          <a:r>
            <a:rPr lang="en-NG" baseline="0"/>
            <a:t> </a:t>
          </a:r>
          <a:r>
            <a:rPr lang="en-GB" sz="1100" b="1">
              <a:solidFill>
                <a:srgbClr val="A9B4C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Month-to-month revenue share</a:t>
          </a:r>
        </a:p>
      </xdr:txBody>
    </xdr:sp>
    <xdr:clientData/>
  </xdr:twoCellAnchor>
  <xdr:twoCellAnchor>
    <xdr:from>
      <xdr:col>16</xdr:col>
      <xdr:colOff>475826</xdr:colOff>
      <xdr:row>5</xdr:row>
      <xdr:rowOff>3736</xdr:rowOff>
    </xdr:from>
    <xdr:to>
      <xdr:col>19</xdr:col>
      <xdr:colOff>687493</xdr:colOff>
      <xdr:row>10</xdr:row>
      <xdr:rowOff>0</xdr:rowOff>
    </xdr:to>
    <xdr:sp macro="" textlink="Segment_Risk!C13">
      <xdr:nvSpPr>
        <xdr:cNvPr id="49" name="Rounded Rectangle 48">
          <a:extLst>
            <a:ext uri="{FF2B5EF4-FFF2-40B4-BE49-F238E27FC236}">
              <a16:creationId xmlns:a16="http://schemas.microsoft.com/office/drawing/2014/main" id="{E84B3D18-618C-304C-B152-153EB448594F}"/>
            </a:ext>
          </a:extLst>
        </xdr:cNvPr>
        <xdr:cNvSpPr/>
      </xdr:nvSpPr>
      <xdr:spPr>
        <a:xfrm>
          <a:off x="13504532" y="1012265"/>
          <a:ext cx="2654549" cy="1004794"/>
        </a:xfrm>
        <a:prstGeom prst="roundRect">
          <a:avLst>
            <a:gd name="adj" fmla="val 7946"/>
          </a:avLst>
        </a:prstGeom>
        <a:solidFill>
          <a:srgbClr val="1F386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E6BEFD97-88EF-C94F-A101-C5C2F96F61F3}" type="TxLink">
            <a:rPr lang="en-US" sz="3600" b="1" i="0" u="none" strike="noStrike">
              <a:solidFill>
                <a:srgbClr val="C9A84C"/>
              </a:solidFill>
              <a:latin typeface="Arial" panose="020B0604020202020204" pitchFamily="34" charset="0"/>
              <a:cs typeface="Arial" panose="020B0604020202020204" pitchFamily="34" charset="0"/>
            </a:rPr>
            <a:pPr algn="l"/>
            <a:t>814</a:t>
          </a:fld>
          <a:endParaRPr lang="en-US" sz="3600" b="1" i="0" u="none" strike="noStrike">
            <a:solidFill>
              <a:srgbClr val="C9A84C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G"/>
            <a:t>👥</a:t>
          </a:r>
          <a:r>
            <a:rPr lang="en-NG" baseline="0"/>
            <a:t> </a:t>
          </a:r>
          <a:r>
            <a:rPr lang="en-NG" sz="1100" b="1">
              <a:solidFill>
                <a:srgbClr val="A9B4C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High-risk customers</a:t>
          </a:r>
        </a:p>
      </xdr:txBody>
    </xdr:sp>
    <xdr:clientData/>
  </xdr:twoCellAnchor>
  <xdr:twoCellAnchor>
    <xdr:from>
      <xdr:col>2</xdr:col>
      <xdr:colOff>175685</xdr:colOff>
      <xdr:row>11</xdr:row>
      <xdr:rowOff>0</xdr:rowOff>
    </xdr:from>
    <xdr:to>
      <xdr:col>19</xdr:col>
      <xdr:colOff>647700</xdr:colOff>
      <xdr:row>40</xdr:row>
      <xdr:rowOff>88897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5A32A20D-7E56-4DF9-2335-5CE2E16A5C73}"/>
            </a:ext>
          </a:extLst>
        </xdr:cNvPr>
        <xdr:cNvGrpSpPr/>
      </xdr:nvGrpSpPr>
      <xdr:grpSpPr>
        <a:xfrm>
          <a:off x="1812574" y="2173111"/>
          <a:ext cx="14385570" cy="5818008"/>
          <a:chOff x="1801285" y="2235200"/>
          <a:chExt cx="14289615" cy="5981697"/>
        </a:xfrm>
      </xdr:grpSpPr>
      <xdr:sp macro="" textlink="">
        <xdr:nvSpPr>
          <xdr:cNvPr id="43" name="Rounded Rectangle 42">
            <a:extLst>
              <a:ext uri="{FF2B5EF4-FFF2-40B4-BE49-F238E27FC236}">
                <a16:creationId xmlns:a16="http://schemas.microsoft.com/office/drawing/2014/main" id="{ED207820-019B-F144-A37F-C4B3208F9F8F}"/>
              </a:ext>
            </a:extLst>
          </xdr:cNvPr>
          <xdr:cNvSpPr/>
        </xdr:nvSpPr>
        <xdr:spPr>
          <a:xfrm>
            <a:off x="1807633" y="2235200"/>
            <a:ext cx="7031567" cy="2844800"/>
          </a:xfrm>
          <a:prstGeom prst="roundRect">
            <a:avLst>
              <a:gd name="adj" fmla="val 794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000" b="1">
                <a:solidFill>
                  <a:srgbClr val="1F386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Churn Rate by Contract Type</a:t>
            </a:r>
          </a:p>
        </xdr:txBody>
      </xdr:sp>
      <xdr:sp macro="" textlink="">
        <xdr:nvSpPr>
          <xdr:cNvPr id="50" name="Rounded Rectangle 49">
            <a:extLst>
              <a:ext uri="{FF2B5EF4-FFF2-40B4-BE49-F238E27FC236}">
                <a16:creationId xmlns:a16="http://schemas.microsoft.com/office/drawing/2014/main" id="{CB41F157-EE6B-654B-B27D-0AF83220941F}"/>
              </a:ext>
            </a:extLst>
          </xdr:cNvPr>
          <xdr:cNvSpPr/>
        </xdr:nvSpPr>
        <xdr:spPr>
          <a:xfrm>
            <a:off x="9059333" y="2235200"/>
            <a:ext cx="7031567" cy="2844800"/>
          </a:xfrm>
          <a:prstGeom prst="roundRect">
            <a:avLst>
              <a:gd name="adj" fmla="val 794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100" b="1">
                <a:solidFill>
                  <a:srgbClr val="1F386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Monthly Revenue Lost vs Retained</a:t>
            </a:r>
          </a:p>
        </xdr:txBody>
      </xdr:sp>
      <xdr:sp macro="" textlink="">
        <xdr:nvSpPr>
          <xdr:cNvPr id="53" name="Rounded Rectangle 52">
            <a:extLst>
              <a:ext uri="{FF2B5EF4-FFF2-40B4-BE49-F238E27FC236}">
                <a16:creationId xmlns:a16="http://schemas.microsoft.com/office/drawing/2014/main" id="{4076697E-0C30-32AE-231F-420CE8DFB349}"/>
              </a:ext>
            </a:extLst>
          </xdr:cNvPr>
          <xdr:cNvSpPr/>
        </xdr:nvSpPr>
        <xdr:spPr>
          <a:xfrm>
            <a:off x="1801285" y="5287427"/>
            <a:ext cx="7031567" cy="2844800"/>
          </a:xfrm>
          <a:prstGeom prst="roundRect">
            <a:avLst>
              <a:gd name="adj" fmla="val 794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100" b="1">
                <a:solidFill>
                  <a:srgbClr val="1F386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Customer and Revenue Concentration by Contract</a:t>
            </a:r>
          </a:p>
        </xdr:txBody>
      </xdr:sp>
      <xdr:sp macro="" textlink="">
        <xdr:nvSpPr>
          <xdr:cNvPr id="54" name="Rounded Rectangle 53">
            <a:extLst>
              <a:ext uri="{FF2B5EF4-FFF2-40B4-BE49-F238E27FC236}">
                <a16:creationId xmlns:a16="http://schemas.microsoft.com/office/drawing/2014/main" id="{F5D3BDDA-070D-C4F6-206A-465F3CA9DD9B}"/>
              </a:ext>
            </a:extLst>
          </xdr:cNvPr>
          <xdr:cNvSpPr/>
        </xdr:nvSpPr>
        <xdr:spPr>
          <a:xfrm>
            <a:off x="9052985" y="5287427"/>
            <a:ext cx="7031567" cy="2844800"/>
          </a:xfrm>
          <a:prstGeom prst="roundRect">
            <a:avLst>
              <a:gd name="adj" fmla="val 794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100" b="1">
                <a:solidFill>
                  <a:srgbClr val="1F386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Highest Churn Risk Segments</a:t>
            </a:r>
          </a:p>
        </xdr:txBody>
      </xdr:sp>
      <xdr:graphicFrame macro="">
        <xdr:nvGraphicFramePr>
          <xdr:cNvPr id="56" name="Chart 55">
            <a:extLst>
              <a:ext uri="{FF2B5EF4-FFF2-40B4-BE49-F238E27FC236}">
                <a16:creationId xmlns:a16="http://schemas.microsoft.com/office/drawing/2014/main" id="{7544F380-F38F-EA4E-9E3B-BA84A6EC4227}"/>
              </a:ext>
            </a:extLst>
          </xdr:cNvPr>
          <xdr:cNvGraphicFramePr>
            <a:graphicFrameLocks/>
          </xdr:cNvGraphicFramePr>
        </xdr:nvGraphicFramePr>
        <xdr:xfrm>
          <a:off x="1879600" y="2514599"/>
          <a:ext cx="6908800" cy="25527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57" name="Chart 56">
            <a:extLst>
              <a:ext uri="{FF2B5EF4-FFF2-40B4-BE49-F238E27FC236}">
                <a16:creationId xmlns:a16="http://schemas.microsoft.com/office/drawing/2014/main" id="{FA35C91A-B5F8-594A-AE15-D615AEA35499}"/>
              </a:ext>
            </a:extLst>
          </xdr:cNvPr>
          <xdr:cNvGraphicFramePr>
            <a:graphicFrameLocks/>
          </xdr:cNvGraphicFramePr>
        </xdr:nvGraphicFramePr>
        <xdr:xfrm>
          <a:off x="9228663" y="2421467"/>
          <a:ext cx="6620933" cy="27093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58" name="Chart 57">
            <a:extLst>
              <a:ext uri="{FF2B5EF4-FFF2-40B4-BE49-F238E27FC236}">
                <a16:creationId xmlns:a16="http://schemas.microsoft.com/office/drawing/2014/main" id="{9A0053D8-6BC7-7A4E-9521-C15A95028F23}"/>
              </a:ext>
            </a:extLst>
          </xdr:cNvPr>
          <xdr:cNvGraphicFramePr>
            <a:graphicFrameLocks/>
          </xdr:cNvGraphicFramePr>
        </xdr:nvGraphicFramePr>
        <xdr:xfrm>
          <a:off x="9167284" y="5473697"/>
          <a:ext cx="689821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B0973943-79EC-F343-ADF9-82536AD5F4C4}"/>
              </a:ext>
            </a:extLst>
          </xdr:cNvPr>
          <xdr:cNvGraphicFramePr>
            <a:graphicFrameLocks/>
          </xdr:cNvGraphicFramePr>
        </xdr:nvGraphicFramePr>
        <xdr:xfrm>
          <a:off x="1879600" y="5532966"/>
          <a:ext cx="6261100" cy="2552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2</xdr:col>
      <xdr:colOff>571500</xdr:colOff>
      <xdr:row>41</xdr:row>
      <xdr:rowOff>63500</xdr:rowOff>
    </xdr:from>
    <xdr:to>
      <xdr:col>4</xdr:col>
      <xdr:colOff>127000</xdr:colOff>
      <xdr:row>42</xdr:row>
      <xdr:rowOff>139700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80744A6-405C-096D-3160-CDC399942327}"/>
            </a:ext>
          </a:extLst>
        </xdr:cNvPr>
        <xdr:cNvSpPr txBox="1"/>
      </xdr:nvSpPr>
      <xdr:spPr>
        <a:xfrm>
          <a:off x="2197100" y="8394700"/>
          <a:ext cx="11811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>
              <a:solidFill>
                <a:srgbClr val="C9A84C"/>
              </a:solidFill>
              <a:latin typeface="Arial" panose="020B0604020202020204" pitchFamily="34" charset="0"/>
              <a:cs typeface="Arial" panose="020B0604020202020204" pitchFamily="34" charset="0"/>
            </a:rPr>
            <a:t>Key Findings</a:t>
          </a:r>
        </a:p>
      </xdr:txBody>
    </xdr:sp>
    <xdr:clientData/>
  </xdr:twoCellAnchor>
  <xdr:twoCellAnchor>
    <xdr:from>
      <xdr:col>2</xdr:col>
      <xdr:colOff>558800</xdr:colOff>
      <xdr:row>42</xdr:row>
      <xdr:rowOff>127000</xdr:rowOff>
    </xdr:from>
    <xdr:to>
      <xdr:col>10</xdr:col>
      <xdr:colOff>508000</xdr:colOff>
      <xdr:row>48</xdr:row>
      <xdr:rowOff>38100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0D2817F-B0BC-08E0-7FFE-6F414AFCEBEE}"/>
            </a:ext>
          </a:extLst>
        </xdr:cNvPr>
        <xdr:cNvSpPr txBox="1"/>
      </xdr:nvSpPr>
      <xdr:spPr>
        <a:xfrm>
          <a:off x="2184400" y="8661400"/>
          <a:ext cx="6451600" cy="1130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Month-to-month contracts have the highest churn rate, 42.71%—15× that of two-year contracts.</a:t>
          </a:r>
        </a:p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Churned customers had been paying £139K a month (30.5% of monthly charges), about £1.67M a year.</a:t>
          </a:r>
        </a:p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814 customers fit the high-risk profile and churned at 69.53%, 3.3× the 20.92% rate for all others; 566 had already left.</a:t>
          </a:r>
        </a:p>
      </xdr:txBody>
    </xdr:sp>
    <xdr:clientData/>
  </xdr:twoCellAnchor>
  <xdr:twoCellAnchor>
    <xdr:from>
      <xdr:col>2</xdr:col>
      <xdr:colOff>194735</xdr:colOff>
      <xdr:row>48</xdr:row>
      <xdr:rowOff>114298</xdr:rowOff>
    </xdr:from>
    <xdr:to>
      <xdr:col>19</xdr:col>
      <xdr:colOff>671438</xdr:colOff>
      <xdr:row>50</xdr:row>
      <xdr:rowOff>16606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3AC9EDF-A993-1240-B5C4-C84BDEA53220}"/>
            </a:ext>
          </a:extLst>
        </xdr:cNvPr>
        <xdr:cNvSpPr/>
      </xdr:nvSpPr>
      <xdr:spPr>
        <a:xfrm>
          <a:off x="1820335" y="9867898"/>
          <a:ext cx="14294303" cy="308708"/>
        </a:xfrm>
        <a:prstGeom prst="rect">
          <a:avLst/>
        </a:prstGeom>
        <a:solidFill>
          <a:srgbClr val="DAE3F3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GB" sz="800" i="1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Telco Customer Churn Analysis · 7,043 customers · IBM Sample Dataset · Project 7 — HarjiiAnalytics</a:t>
          </a:r>
        </a:p>
      </xdr:txBody>
    </xdr:sp>
    <xdr:clientData/>
  </xdr:twoCellAnchor>
  <xdr:twoCellAnchor>
    <xdr:from>
      <xdr:col>11</xdr:col>
      <xdr:colOff>220134</xdr:colOff>
      <xdr:row>41</xdr:row>
      <xdr:rowOff>82548</xdr:rowOff>
    </xdr:from>
    <xdr:to>
      <xdr:col>13</xdr:col>
      <xdr:colOff>139699</xdr:colOff>
      <xdr:row>42</xdr:row>
      <xdr:rowOff>177800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1C60280-5F86-894B-9D6C-529395673CAB}"/>
            </a:ext>
          </a:extLst>
        </xdr:cNvPr>
        <xdr:cNvSpPr txBox="1"/>
      </xdr:nvSpPr>
      <xdr:spPr>
        <a:xfrm>
          <a:off x="9160934" y="8413748"/>
          <a:ext cx="1545165" cy="298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>
              <a:solidFill>
                <a:srgbClr val="C9A84C"/>
              </a:solidFill>
              <a:latin typeface="Arial" panose="020B0604020202020204" pitchFamily="34" charset="0"/>
              <a:cs typeface="Arial" panose="020B0604020202020204" pitchFamily="34" charset="0"/>
            </a:rPr>
            <a:t>Recommendation</a:t>
          </a:r>
        </a:p>
      </xdr:txBody>
    </xdr:sp>
    <xdr:clientData/>
  </xdr:twoCellAnchor>
  <xdr:twoCellAnchor>
    <xdr:from>
      <xdr:col>11</xdr:col>
      <xdr:colOff>220135</xdr:colOff>
      <xdr:row>42</xdr:row>
      <xdr:rowOff>133348</xdr:rowOff>
    </xdr:from>
    <xdr:to>
      <xdr:col>19</xdr:col>
      <xdr:colOff>169335</xdr:colOff>
      <xdr:row>48</xdr:row>
      <xdr:rowOff>44448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C1D6C49-9F1A-634D-A677-645789F950DB}"/>
            </a:ext>
          </a:extLst>
        </xdr:cNvPr>
        <xdr:cNvSpPr txBox="1"/>
      </xdr:nvSpPr>
      <xdr:spPr>
        <a:xfrm>
          <a:off x="9160935" y="8667748"/>
          <a:ext cx="6451600" cy="1130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Prioritise retention campaigns for month-to-month customers in their first 12 months.</a:t>
          </a:r>
        </a:p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Test the high-risk profile on active customers before using it to target offers.</a:t>
          </a:r>
        </a:p>
        <a:p>
          <a:r>
            <a:rPr lang="en-GB" sz="1050">
              <a:solidFill>
                <a:srgbClr val="A9B4C2"/>
              </a:solidFill>
              <a:latin typeface="Arial" panose="020B0604020202020204" pitchFamily="34" charset="0"/>
              <a:cs typeface="Arial" panose="020B0604020202020204" pitchFamily="34" charset="0"/>
            </a:rPr>
            <a:t>• Promote migration to one- and two-year contracts using targeted incentives.</a:t>
          </a:r>
        </a:p>
        <a:p>
          <a:endParaRPr lang="en-GB" sz="1050">
            <a:solidFill>
              <a:srgbClr val="A9B4C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12700</xdr:colOff>
      <xdr:row>49</xdr:row>
      <xdr:rowOff>101600</xdr:rowOff>
    </xdr:to>
    <xdr:sp macro="" textlink="">
      <xdr:nvSpPr>
        <xdr:cNvPr id="20481" name="AutoShape 1">
          <a:extLst>
            <a:ext uri="{FF2B5EF4-FFF2-40B4-BE49-F238E27FC236}">
              <a16:creationId xmlns:a16="http://schemas.microsoft.com/office/drawing/2014/main" id="{36FA5780-6669-0C08-BE94-64461CFF378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638300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12700</xdr:colOff>
      <xdr:row>49</xdr:row>
      <xdr:rowOff>101600</xdr:rowOff>
    </xdr:to>
    <xdr:sp macro="" textlink="">
      <xdr:nvSpPr>
        <xdr:cNvPr id="20482" name="AutoShape 2">
          <a:extLst>
            <a:ext uri="{FF2B5EF4-FFF2-40B4-BE49-F238E27FC236}">
              <a16:creationId xmlns:a16="http://schemas.microsoft.com/office/drawing/2014/main" id="{0E6A4EB6-A7D7-9518-F0FA-2C22B4777E2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638300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0.78007</cdr:x>
      <cdr:y>0.15512</cdr:y>
    </cdr:from>
    <cdr:to>
      <cdr:x>0.91818</cdr:x>
      <cdr:y>0.49262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B59914-640C-F323-F259-D29A00EE4D47}"/>
            </a:ext>
          </a:extLst>
        </cdr:cNvPr>
        <cdr:cNvSpPr txBox="1"/>
      </cdr:nvSpPr>
      <cdr:spPr>
        <a:xfrm xmlns:a="http://schemas.openxmlformats.org/drawingml/2006/main">
          <a:off x="5199452" y="408784"/>
          <a:ext cx="920557" cy="8893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■</a:t>
          </a:r>
          <a:r>
            <a:rPr lang="en-GB" sz="1100" kern="120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 Lost: £139K</a:t>
          </a:r>
        </a:p>
        <a:p xmlns:a="http://schemas.openxmlformats.org/drawingml/2006/main">
          <a:r>
            <a:rPr lang="en-GB" sz="1100" kern="1200">
              <a:solidFill>
                <a:srgbClr val="1F3864"/>
              </a:solidFill>
              <a:latin typeface="Arial" panose="020B0604020202020204" pitchFamily="34" charset="0"/>
              <a:cs typeface="Arial" panose="020B0604020202020204" pitchFamily="34" charset="0"/>
            </a:rPr>
            <a:t>■</a:t>
          </a:r>
          <a:r>
            <a:rPr lang="en-GB" sz="1100" kern="1200">
              <a:solidFill>
                <a:srgbClr val="262626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GB" sz="1100" kern="1200">
              <a:latin typeface="Arial" panose="020B0604020202020204" pitchFamily="34" charset="0"/>
              <a:cs typeface="Arial" panose="020B0604020202020204" pitchFamily="34" charset="0"/>
            </a:rPr>
            <a:t>Retained: £316K </a:t>
          </a:r>
        </a:p>
        <a:p xmlns:a="http://schemas.openxmlformats.org/drawingml/2006/main">
          <a:endParaRPr lang="en-GB" sz="11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45A33FBD-47A4-3B48-86DD-1359EA7C3694}" autoFormatId="16" applyNumberFormats="0" applyBorderFormats="0" applyFontFormats="0" applyPatternFormats="0" applyAlignmentFormats="0" applyWidthHeightFormats="0">
  <queryTableRefresh nextId="8">
    <queryTableFields count="7">
      <queryTableField id="1" name="Contract" tableColumnId="1"/>
      <queryTableField id="2" name="InternetService" tableColumnId="2"/>
      <queryTableField id="3" name="PaymentMethod" tableColumnId="3"/>
      <queryTableField id="4" name="tenure_band" tableColumnId="4"/>
      <queryTableField id="5" name="total_customers" tableColumnId="5"/>
      <queryTableField id="6" name="churned" tableColumnId="6"/>
      <queryTableField id="7" name="churn_rate_pc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668A4E1A-B828-8A4F-B184-E52A35B234A9}" autoFormatId="16" applyNumberFormats="0" applyBorderFormats="0" applyFontFormats="0" applyPatternFormats="0" applyAlignmentFormats="0" applyWidthHeightFormats="0">
  <queryTableRefresh nextId="5">
    <queryTableFields count="4">
      <queryTableField id="1" name="tenure_cohort" tableColumnId="1"/>
      <queryTableField id="2" name="churn_rate_pct" tableColumnId="2"/>
      <queryTableField id="3" name="prev_cohort_churn_rate" tableColumnId="3"/>
      <queryTableField id="4" name="churn_rate_chang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CA420D93-4900-834F-8C51-6573AF5A1886}" autoFormatId="16" applyNumberFormats="0" applyBorderFormats="0" applyFontFormats="0" applyPatternFormats="0" applyAlignmentFormats="0" applyWidthHeightFormats="0">
  <queryTableRefresh nextId="8">
    <queryTableFields count="6">
      <queryTableField id="1" name="Contract" tableColumnId="1"/>
      <queryTableField id="2" name="tenure_band" tableColumnId="2"/>
      <queryTableField id="3" name="revenue_tier" tableColumnId="3"/>
      <queryTableField id="4" name="total_customers" tableColumnId="4"/>
      <queryTableField id="5" name="churned" tableColumnId="5"/>
      <queryTableField id="6" name="churn_rate_pc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3C62A047-C385-2246-B039-1D22351DBDA5}" autoFormatId="16" applyNumberFormats="0" applyBorderFormats="0" applyFontFormats="0" applyPatternFormats="0" applyAlignmentFormats="0" applyWidthHeightFormats="0">
  <queryTableRefresh nextId="6">
    <queryTableFields count="5">
      <queryTableField id="1" name="Contract" tableColumnId="1"/>
      <queryTableField id="2" name="customers" tableColumnId="2"/>
      <queryTableField id="3" name="customer_share_pct" tableColumnId="3"/>
      <queryTableField id="4" name="monthly_revenue" tableColumnId="4"/>
      <queryTableField id="5" name="revenue_share_pc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FC3A11C1-9D80-1C4E-A2E6-BE102513C1D4}" autoFormatId="16" applyNumberFormats="0" applyBorderFormats="0" applyFontFormats="0" applyPatternFormats="0" applyAlignmentFormats="0" applyWidthHeightFormats="0">
  <queryTableRefresh nextId="8">
    <queryTableFields count="7">
      <queryTableField id="1" name="InternetService" tableColumnId="1"/>
      <queryTableField id="2" name="customers" tableColumnId="2"/>
      <queryTableField id="3" name="customer_share_pct" tableColumnId="3"/>
      <queryTableField id="4" name="monthly_revenue" tableColumnId="4"/>
      <queryTableField id="5" name="revenue_share_pct" tableColumnId="5"/>
      <queryTableField id="6" name="churned" tableColumnId="6"/>
      <queryTableField id="7" name="churn_rate_pct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B8B7990A-05E4-E049-8B7B-0C786A39D862}" autoFormatId="16" applyNumberFormats="0" applyBorderFormats="0" applyFontFormats="0" applyPatternFormats="0" applyAlignmentFormats="0" applyWidthHeightFormats="0">
  <queryTableRefresh nextId="5">
    <queryTableFields count="4">
      <queryTableField id="1" name="risk_flag" tableColumnId="1"/>
      <queryTableField id="2" name="total_customers" tableColumnId="2"/>
      <queryTableField id="3" name="already_churned" tableColumnId="3"/>
      <queryTableField id="4" name="churn_rate_pc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13CC7477-2925-E94D-9BF5-DA520B8A174A}" autoFormatId="16" applyNumberFormats="0" applyBorderFormats="0" applyFontFormats="0" applyPatternFormats="0" applyAlignmentFormats="0" applyWidthHeightFormats="0">
  <queryTableRefresh nextId="5">
    <queryTableFields count="4">
      <queryTableField id="1" name="monthly_revenue_lost" tableColumnId="1"/>
      <queryTableField id="2" name="monthly_revenue_retained" tableColumnId="2"/>
      <queryTableField id="3" name="total_monthly_charges" tableColumnId="3"/>
      <queryTableField id="4" name="revenue_at_risk_pct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24F27920-EBA0-3D4A-8925-70E97B85D545}" autoFormatId="16" applyNumberFormats="0" applyBorderFormats="0" applyFontFormats="0" applyPatternFormats="0" applyAlignmentFormats="0" applyWidthHeightFormats="0">
  <queryTableRefresh nextId="6">
    <queryTableFields count="5">
      <queryTableField id="1" name="Contract" tableColumnId="1"/>
      <queryTableField id="2" name="customers" tableColumnId="2"/>
      <queryTableField id="3" name="total_revenue" tableColumnId="3"/>
      <queryTableField id="4" name="avg_revenue_per_customer" tableColumnId="4"/>
      <queryTableField id="5" name="avg_monthly_charg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3C403418-FC67-4A46-B5F5-D68A904FA800}" autoFormatId="16" applyNumberFormats="0" applyBorderFormats="0" applyFontFormats="0" applyPatternFormats="0" applyAlignmentFormats="0" applyWidthHeightFormats="0">
  <queryTableRefresh nextId="6">
    <queryTableFields count="5">
      <queryTableField id="1" name="revenue_tier" tableColumnId="1"/>
      <queryTableField id="2" name="total_customers" tableColumnId="2"/>
      <queryTableField id="3" name="churned" tableColumnId="3"/>
      <queryTableField id="4" name="churn_rate_pct" tableColumnId="4"/>
      <queryTableField id="5" name="avg_monthly_charg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D59E4D70-07CF-0240-B48B-744E9269F727}" autoFormatId="16" applyNumberFormats="0" applyBorderFormats="0" applyFontFormats="0" applyPatternFormats="0" applyAlignmentFormats="0" applyWidthHeightFormats="0">
  <queryTableRefresh nextId="5">
    <queryTableFields count="4">
      <queryTableField id="1" name="tenure" tableColumnId="1"/>
      <queryTableField id="2" name="customers" tableColumnId="2"/>
      <queryTableField id="3" name="monthly_revenue" tableColumnId="3"/>
      <queryTableField id="4" name="cumulative_revenue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41A8AFDB-0A67-D643-BCFB-7A8734B7D67A}" autoFormatId="16" applyNumberFormats="0" applyBorderFormats="0" applyFontFormats="0" applyPatternFormats="0" applyAlignmentFormats="0" applyWidthHeightFormats="0">
  <queryTableRefresh nextId="6">
    <queryTableFields count="5">
      <queryTableField id="1" name="Contract" tableColumnId="1"/>
      <queryTableField id="2" name="Churn" tableColumnId="2"/>
      <queryTableField id="3" name="avg_tenure" tableColumnId="3"/>
      <queryTableField id="4" name="avg_monthly" tableColumnId="4"/>
      <queryTableField id="5" name="estimated_ltv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E46E60A-5AD6-E845-A89B-4409FB51696B}" autoFormatId="16" applyNumberFormats="0" applyBorderFormats="0" applyFontFormats="0" applyPatternFormats="0" applyAlignmentFormats="0" applyWidthHeightFormats="0">
  <queryTableRefresh nextId="5">
    <queryTableFields count="4">
      <queryTableField id="1" name="Contract" tableColumnId="1"/>
      <queryTableField id="2" name="total_customers" tableColumnId="2"/>
      <queryTableField id="3" name="churned" tableColumnId="3"/>
      <queryTableField id="4" name="churn_rate_pct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7D4820B9-CCB9-6141-88AB-A9D5AD463F62}" autoFormatId="16" applyNumberFormats="0" applyBorderFormats="0" applyFontFormats="0" applyPatternFormats="0" applyAlignmentFormats="0" applyWidthHeightFormats="0">
  <queryTableRefresh nextId="5">
    <queryTableFields count="4">
      <queryTableField id="1" name="tenure_band" tableColumnId="1"/>
      <queryTableField id="2" name="total_customers" tableColumnId="2"/>
      <queryTableField id="3" name="churned" tableColumnId="3"/>
      <queryTableField id="4" name="churn_rate_pct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1F1AAA6-F304-1F46-A2E1-226A220247ED}" autoFormatId="16" applyNumberFormats="0" applyBorderFormats="0" applyFontFormats="0" applyPatternFormats="0" applyAlignmentFormats="0" applyWidthHeightFormats="0">
  <queryTableRefresh nextId="5">
    <queryTableFields count="4">
      <queryTableField id="1" name="InternetService" tableColumnId="1"/>
      <queryTableField id="2" name="total_customers" tableColumnId="2"/>
      <queryTableField id="3" name="churned" tableColumnId="3"/>
      <queryTableField id="4" name="churn_rate_pct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327483D-B754-0B4A-9EFF-EF616A3EC76A}" autoFormatId="16" applyNumberFormats="0" applyBorderFormats="0" applyFontFormats="0" applyPatternFormats="0" applyAlignmentFormats="0" applyWidthHeightFormats="0">
  <queryTableRefresh nextId="5">
    <queryTableFields count="4">
      <queryTableField id="1" name="PaymentMethod" tableColumnId="1"/>
      <queryTableField id="2" name="total_customers" tableColumnId="2"/>
      <queryTableField id="3" name="churned" tableColumnId="3"/>
      <queryTableField id="4" name="churn_rate_pct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98E47C5-054C-7D43-A49A-27E72215FCBF}" autoFormatId="16" applyNumberFormats="0" applyBorderFormats="0" applyFontFormats="0" applyPatternFormats="0" applyAlignmentFormats="0" applyWidthHeightFormats="0">
  <queryTableRefresh nextId="5">
    <queryTableFields count="4">
      <queryTableField id="1" name="Churn" tableColumnId="1"/>
      <queryTableField id="2" name="avg_tenure_months" tableColumnId="2"/>
      <queryTableField id="3" name="min_tenure" tableColumnId="3"/>
      <queryTableField id="4" name="max_tenure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CCC3FE-6AA7-0146-9F7E-02A0B23230A8}" autoFormatId="16" applyNumberFormats="0" applyBorderFormats="0" applyFontFormats="0" applyPatternFormats="0" applyAlignmentFormats="0" applyWidthHeightFormats="0">
  <queryTableRefresh nextId="6">
    <queryTableFields count="5">
      <queryTableField id="1" name="Churn" tableColumnId="1"/>
      <queryTableField id="2" name="avg_monthly_charge" tableColumnId="2"/>
      <queryTableField id="3" name="min_charge" tableColumnId="3"/>
      <queryTableField id="4" name="max_charge" tableColumnId="4"/>
      <queryTableField id="5" name="std_dev_charg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FA2D809-7BAB-B642-8177-72058148CE9D}" name="tbl_PerfectStormChurn" displayName="tbl_PerfectStormChurn" ref="A1:G4" tableType="queryTable" totalsRowShown="0">
  <tableColumns count="7">
    <tableColumn id="1" xr3:uid="{802CF6E5-D979-6E4F-BFAE-D2B9F947051A}" uniqueName="1" name="Contract" queryTableFieldId="1" dataDxfId="78"/>
    <tableColumn id="2" xr3:uid="{AF9117BC-66B6-AC46-A9F1-9F1CCB5C189C}" uniqueName="2" name="Internet Service" queryTableFieldId="2" dataDxfId="77"/>
    <tableColumn id="3" xr3:uid="{829870BE-EDFC-E448-A0A7-3435551BB782}" uniqueName="3" name="Payment Method" queryTableFieldId="3" dataDxfId="76"/>
    <tableColumn id="4" xr3:uid="{86CC06BA-4F61-5B45-BF24-2C3F38E4B029}" uniqueName="4" name="Tenure Band" queryTableFieldId="4" dataDxfId="75"/>
    <tableColumn id="5" xr3:uid="{25B0B183-2774-4540-9952-52D17D555331}" uniqueName="5" name="Total Customers" queryTableFieldId="5"/>
    <tableColumn id="6" xr3:uid="{E3CED17F-FA34-DB4E-A5F4-789AA118561A}" uniqueName="6" name="Churned" queryTableFieldId="6"/>
    <tableColumn id="7" xr3:uid="{1ADF5EF2-E9F2-0546-860D-7D73AC63FC78}" uniqueName="7" name="Churn Rate (%)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719990-BA6B-4540-AA87-BBD608FA6264}" name="tbl_CohortLagAnalysis" displayName="tbl_CohortLagAnalysis" ref="A1:D6" tableType="queryTable" totalsRowShown="0">
  <tableColumns count="4">
    <tableColumn id="1" xr3:uid="{7A5CD395-B62D-6047-BF27-88C243902704}" uniqueName="1" name="Tenure Cohort" queryTableFieldId="1" dataDxfId="74"/>
    <tableColumn id="2" xr3:uid="{524A3A1C-EFA6-3443-9D36-74BE05D4E8F8}" uniqueName="2" name="Churn Rate (%)" queryTableFieldId="2"/>
    <tableColumn id="3" xr3:uid="{53FC72E6-45D1-FE4F-8FB7-98275E3AC62A}" uniqueName="3" name="Previous Cohort Churn Rate (%)" queryTableFieldId="3" dataDxfId="73"/>
    <tableColumn id="4" xr3:uid="{B21C670E-9B8B-6C4F-B821-49998FCC5FB7}" uniqueName="4" name="Change (pp)" queryTableFieldId="4" dataDxfId="7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F93CCC-493E-6A44-AC40-A34C4C21324F}" name="tbl_MultiDimensionChurn" displayName="tbl_MultiDimensionChurn" ref="A1:F11" tableType="queryTable" totalsRowShown="0">
  <tableColumns count="6">
    <tableColumn id="1" xr3:uid="{5FEF8909-72B4-EB45-BC4E-5130E87C31B6}" uniqueName="1" name="Contract" queryTableFieldId="1" dataDxfId="71"/>
    <tableColumn id="2" xr3:uid="{E3C961D6-5C8A-1448-ABDC-1781674983EA}" uniqueName="2" name="Tenure Band" queryTableFieldId="2" dataDxfId="70"/>
    <tableColumn id="3" xr3:uid="{860E8E7A-A2D9-AE44-9C48-C4359608B618}" uniqueName="3" name="Revenue Tier" queryTableFieldId="3" dataDxfId="69"/>
    <tableColumn id="4" xr3:uid="{FB7EE381-A616-DA41-A200-CFB6BE044BE1}" uniqueName="4" name="Total Customers" queryTableFieldId="4"/>
    <tableColumn id="5" xr3:uid="{ABA66FC4-86B8-6943-8CAE-45D831AD27D9}" uniqueName="5" name="Churned" queryTableFieldId="5"/>
    <tableColumn id="6" xr3:uid="{B5F1126E-01A3-1148-B1AA-0B4A80FBDDEC}" uniqueName="6" name="Churn Rate (%)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D9DD348-E701-8943-A187-62EE00722A01}" name="Table27" displayName="Table27" ref="I1:L11" totalsRowShown="0">
  <autoFilter ref="I1:L11" xr:uid="{AD9DD348-E701-8943-A187-62EE00722A01}"/>
  <tableColumns count="4">
    <tableColumn id="1" xr3:uid="{072EBBDC-3808-2F44-B9A2-A0FFE9259459}" name="Segment Descriptions">
      <calculatedColumnFormula>A2 &amp; " | " &amp; B2 &amp; " | " &amp; C2</calculatedColumnFormula>
    </tableColumn>
    <tableColumn id="2" xr3:uid="{B0AF1863-EE9F-5045-B503-3C9B7691FB4C}" name="Churn Rate (%)"/>
    <tableColumn id="3" xr3:uid="{1C08CF6C-EDAF-F14A-81F6-449EF43D2A78}" name="Total Customers"/>
    <tableColumn id="4" xr3:uid="{BD071116-B81F-434D-95FF-ADF64CD89034}" name="Churned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4C9FB4-1F0B-A342-BEC8-6B940EAB13CD}" name="tbl_ConcentrationRisk" displayName="tbl_ConcentrationRisk" ref="A1:E4" tableType="queryTable" totalsRowShown="0">
  <tableColumns count="5">
    <tableColumn id="1" xr3:uid="{F08E94C9-6902-864C-BA66-ADF81E46CD72}" uniqueName="1" name="Contract" queryTableFieldId="1" dataDxfId="68"/>
    <tableColumn id="2" xr3:uid="{C1C9BD8E-6886-D14E-AD90-191EE0FC0592}" uniqueName="2" name="Total Customers" queryTableFieldId="2" dataDxfId="67"/>
    <tableColumn id="3" xr3:uid="{A66821D9-F342-4349-AE0C-3636DC36C9AC}" uniqueName="3" name="Customer Share (%)" queryTableFieldId="3"/>
    <tableColumn id="4" xr3:uid="{4A074E79-C77E-2643-8301-7D782C753CFC}" uniqueName="4" name="Monthly Revenue (£)" queryTableFieldId="4" dataDxfId="66"/>
    <tableColumn id="5" xr3:uid="{B2686CA3-CF6A-8B4E-AD10-267832B16AAD}" uniqueName="5" name="Revenue Share (%)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40B0E5-F499-CA4E-B2BB-DD31ECB7953F}" name="tbl_InternetServiceConcentration" displayName="tbl_InternetServiceConcentration" ref="A1:G4" tableType="queryTable" totalsRowShown="0">
  <tableColumns count="7">
    <tableColumn id="1" xr3:uid="{947D10B9-A2CB-3B47-9552-57D661C2E714}" uniqueName="1" name="Internet Service" queryTableFieldId="1" dataDxfId="65"/>
    <tableColumn id="2" xr3:uid="{37D43375-4B32-504A-8F98-3FFCEEA7AE43}" uniqueName="2" name="Total Customers" queryTableFieldId="2" dataDxfId="64"/>
    <tableColumn id="3" xr3:uid="{D791ECA5-C8A1-3646-A36E-7C4723FBFD93}" uniqueName="3" name="Customer Share (%)" queryTableFieldId="3"/>
    <tableColumn id="4" xr3:uid="{3BB9A7FA-8AAA-7B4E-850A-357FB845A397}" uniqueName="4" name="Monthly Revenue (£)" queryTableFieldId="4" dataDxfId="63"/>
    <tableColumn id="5" xr3:uid="{F0AC3E8A-8DBA-6445-9434-3734070B9AFC}" uniqueName="5" name="Revenue Share (%)" queryTableFieldId="5"/>
    <tableColumn id="6" xr3:uid="{EE1DAD9D-4A6F-424F-9CFA-E624B561538A}" uniqueName="6" name="Churned" queryTableFieldId="6" dataDxfId="62"/>
    <tableColumn id="7" xr3:uid="{EB856C55-249F-0749-9A39-479A9D5E0208}" uniqueName="7" name="Churn Rate (%)" queryTableFieldId="7" dataDxfId="6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F8C4A81-72EF-D941-AC8F-C210BFA0D77F}" name="tbl_HighRiskCustomers" displayName="tbl_HighRiskCustomers" ref="A1:D3" tableType="queryTable" totalsRowShown="0">
  <tableColumns count="4">
    <tableColumn id="1" xr3:uid="{31A65301-EED3-0D49-926B-A99DC48B5DB6}" uniqueName="1" name="Risk Segment" queryTableFieldId="1" dataDxfId="60"/>
    <tableColumn id="2" xr3:uid="{3FF4A5BD-C088-E34A-8B07-2AAFD11D5DC3}" uniqueName="2" name="Total Customers" queryTableFieldId="2" dataDxfId="59"/>
    <tableColumn id="3" xr3:uid="{55F9EC9B-9776-4048-9BDE-27197DCC98AB}" uniqueName="3" name="Churned" queryTableFieldId="3" dataDxfId="58"/>
    <tableColumn id="4" xr3:uid="{FE882F51-4C35-6E4A-9E38-FF7F0B11A3CC}" uniqueName="4" name="Churn Rate (%)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36C1791-C5D0-9B47-B71A-C463606763CE}" name="tbl_ContractConcentrationRisk" displayName="tbl_ContractConcentrationRisk" ref="A1:G4" totalsRowShown="0" headerRowDxfId="57">
  <autoFilter ref="A1:G4" xr:uid="{336C1791-C5D0-9B47-B71A-C463606763CE}"/>
  <sortState xmlns:xlrd2="http://schemas.microsoft.com/office/spreadsheetml/2017/richdata2" ref="A2:G4">
    <sortCondition descending="1" ref="G1:G4"/>
  </sortState>
  <tableColumns count="7">
    <tableColumn id="1" xr3:uid="{4B1F6C3A-63C1-C34F-890B-C22C3EA11A28}" name="Pillar"/>
    <tableColumn id="2" xr3:uid="{75858EA3-D657-374E-B557-D4C2392E25F6}" name="Segment Type"/>
    <tableColumn id="3" xr3:uid="{5BD36929-60F9-274B-A8DF-96B6AF0CFEF1}" name="Segment"/>
    <tableColumn id="4" xr3:uid="{EAD942D2-1958-6043-B717-EFAA7F863730}" name="Total Customers">
      <calculatedColumnFormula>concentration_risk!B2</calculatedColumnFormula>
    </tableColumn>
    <tableColumn id="5" xr3:uid="{7A3A95CD-84B6-BB4A-96D1-EBF730CF4B6C}" name="Customer Share (%)">
      <calculatedColumnFormula>concentration_risk!C2</calculatedColumnFormula>
    </tableColumn>
    <tableColumn id="6" xr3:uid="{97646F84-1B09-8847-A23F-EEC1CCB2802A}" name="Monthly Revenue (£)">
      <calculatedColumnFormula>concentration_risk!D2</calculatedColumnFormula>
    </tableColumn>
    <tableColumn id="7" xr3:uid="{D6A6B1EA-227A-6444-920A-AAC00DAD0704}" name="Revenue Share (%)" dataDxfId="56">
      <calculatedColumnFormula>concentration_risk!E2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F4268BC-20BC-CF42-A870-8D0005570772}" name="tbl_InternetServiceRisk" displayName="tbl_InternetServiceRisk" ref="A6:H9" totalsRowShown="0" headerRowDxfId="55">
  <autoFilter ref="A6:H9" xr:uid="{CF4268BC-20BC-CF42-A870-8D0005570772}"/>
  <tableColumns count="8">
    <tableColumn id="1" xr3:uid="{0D4CF115-5388-B446-8E9F-5F2C768320B2}" name="Pillar"/>
    <tableColumn id="2" xr3:uid="{A2FD6235-2B27-554B-B1C6-A83F3EB33BF2}" name="Segment Type"/>
    <tableColumn id="3" xr3:uid="{60831F85-B277-A74C-B5D6-CD1863818C73}" name="Segment"/>
    <tableColumn id="4" xr3:uid="{573BF52D-CD9E-FB4F-86B1-5630A139893F}" name="Total Customers">
      <calculatedColumnFormula>internet_service_concentration!B2</calculatedColumnFormula>
    </tableColumn>
    <tableColumn id="5" xr3:uid="{305B7048-E60F-FB48-AFB7-CAAAAF4E34E0}" name="Customer Share (%)">
      <calculatedColumnFormula>internet_service_concentration!C2</calculatedColumnFormula>
    </tableColumn>
    <tableColumn id="6" xr3:uid="{D59845FD-9B4B-AB42-81AE-759614891A35}" name="Monthly Revenue (£)">
      <calculatedColumnFormula>internet_service_concentration!D2</calculatedColumnFormula>
    </tableColumn>
    <tableColumn id="7" xr3:uid="{E514AB81-A494-BD47-B967-BEA57B911FD2}" name="Revenue Share (%)">
      <calculatedColumnFormula>internet_service_concentration!E2</calculatedColumnFormula>
    </tableColumn>
    <tableColumn id="8" xr3:uid="{FC2282AE-2309-6642-949C-28F5F7102053}" name="Churn Rate (%)">
      <calculatedColumnFormula>internet_service_concentration!G2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7D34EB5-00BB-6646-8CDD-6A46064A888A}" name="tbl_HighRiskProfile" displayName="tbl_HighRiskProfile" ref="A11:E13" totalsRowShown="0" headerRowDxfId="54">
  <autoFilter ref="A11:E13" xr:uid="{C7D34EB5-00BB-6646-8CDD-6A46064A888A}"/>
  <tableColumns count="5">
    <tableColumn id="1" xr3:uid="{86051A5A-F80E-9147-9C3F-3F24FD771B4A}" name="Pillar"/>
    <tableColumn id="2" xr3:uid="{E5E371E1-A952-E444-8EB6-3B5AC4FB5734}" name="Risk Segment"/>
    <tableColumn id="3" xr3:uid="{957BAA51-1D75-3F48-B56D-8E34B9ED7D33}" name="Total Customers">
      <calculatedColumnFormula>high_risk_customers!B2</calculatedColumnFormula>
    </tableColumn>
    <tableColumn id="4" xr3:uid="{5B3B87FC-841D-6943-B5E2-3C8C0CFD72C0}" name="Churned">
      <calculatedColumnFormula>high_risk_customers!C2</calculatedColumnFormula>
    </tableColumn>
    <tableColumn id="5" xr3:uid="{A2231395-A2BA-1844-90B4-085B4343C749}" name="Churn Rate (%)">
      <calculatedColumnFormula>high_risk_customers!D2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D612E4F-0EC1-F34B-B0D5-B20A67547F14}" name="tbl_RevenueAtRisk" displayName="tbl_RevenueAtRisk" ref="A1:D2" tableType="queryTable" totalsRowShown="0">
  <tableColumns count="4">
    <tableColumn id="1" xr3:uid="{CE8F1621-839C-A645-A21C-362B18C40B9B}" uniqueName="1" name="Monthly Revenue Lost (£)" queryTableFieldId="1" dataDxfId="53"/>
    <tableColumn id="2" xr3:uid="{1AC42E31-24F6-A34F-A303-2B1B90EC0847}" uniqueName="2" name="Monthly Revenue Retained (£)" queryTableFieldId="2" dataDxfId="52"/>
    <tableColumn id="3" xr3:uid="{A561CAFD-AECD-3040-AF5F-6BE77DA7BC82}" uniqueName="3" name="Total Monthly Charges (£)" queryTableFieldId="3" dataDxfId="51"/>
    <tableColumn id="4" xr3:uid="{174A5E7A-03D1-CB42-9EE3-FF4AB70BFD9D}" uniqueName="4" name="Revenue at Risk (%)" queryTableFieldId="4" dataDxfId="5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D7D8E2-BDB4-124D-9297-30695E8D3147}" name="tbl_RevenueByContract" displayName="tbl_RevenueByContract" ref="A1:E4" tableType="queryTable" totalsRowShown="0">
  <tableColumns count="5">
    <tableColumn id="1" xr3:uid="{A6E82EE2-B392-DC49-ADCF-DF265E1A85ED}" uniqueName="1" name="Contract" queryTableFieldId="1" dataDxfId="49"/>
    <tableColumn id="2" xr3:uid="{2DBF4CBE-403E-0C42-AB2E-09D8ABD334F9}" uniqueName="2" name="Total Customers" queryTableFieldId="2" dataDxfId="48"/>
    <tableColumn id="3" xr3:uid="{5A03B9B3-5659-C947-83CB-DF3B370ACF8E}" uniqueName="3" name="Total Revenue (£)" queryTableFieldId="3" dataDxfId="47"/>
    <tableColumn id="4" xr3:uid="{A0630365-B5F2-854B-867C-C461A01042A6}" uniqueName="4" name="Avg Revenue per Customer (£)" queryTableFieldId="4" dataDxfId="46"/>
    <tableColumn id="5" xr3:uid="{24C39E68-7970-5446-88C4-E40F0EF08486}" uniqueName="5" name="Avg Monthly Charge (£)" queryTableFieldId="5" dataDxfId="4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D8608C6-C9E4-5A49-BDF9-EF44B919CE83}" name="tbl_RevenueTiers" displayName="tbl_RevenueTiers" ref="A1:E4" tableType="queryTable" totalsRowShown="0">
  <tableColumns count="5">
    <tableColumn id="1" xr3:uid="{41E8F396-8679-BD46-8D8E-CC8A172F40CC}" uniqueName="1" name="Revenue Tier" queryTableFieldId="1" dataDxfId="44"/>
    <tableColumn id="2" xr3:uid="{D0310F65-1A14-1142-B33E-2A265C88ECDD}" uniqueName="2" name="Total Customers" queryTableFieldId="2" dataDxfId="43"/>
    <tableColumn id="3" xr3:uid="{EB2D7ECB-BA25-FB4C-8127-9E0A41E474A4}" uniqueName="3" name="Churned" queryTableFieldId="3" dataDxfId="42"/>
    <tableColumn id="4" xr3:uid="{B778B5BC-EC23-2948-AEFD-D324BEBD43B1}" uniqueName="4" name="Churn Rate (%)" queryTableFieldId="4"/>
    <tableColumn id="5" xr3:uid="{89C11977-0981-F84A-9DA8-DDE0CCFB121A}" uniqueName="5" name="Avg Monthly Charge (£)" queryTableFieldId="5" dataDxfId="4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8AF503-53DF-1E4C-BDC6-1CE9D6258ECE}" name="tbl_CumulativeRevenueByTenure" displayName="tbl_CumulativeRevenueByTenure" ref="A1:D74" tableType="queryTable" totalsRowShown="0">
  <tableColumns count="4">
    <tableColumn id="1" xr3:uid="{66852C9A-E171-574F-9EC9-442A563E85BA}" uniqueName="1" name="Tenure (Months)" queryTableFieldId="1"/>
    <tableColumn id="2" xr3:uid="{3E8FF0FA-B0D9-6645-9DDE-4F3BF1F96BE1}" uniqueName="2" name="Total Customers" queryTableFieldId="2" dataDxfId="40"/>
    <tableColumn id="3" xr3:uid="{505073EC-EA8C-434C-B300-605362540EE9}" uniqueName="3" name="Monthly Revenue (£)" queryTableFieldId="3" dataDxfId="39"/>
    <tableColumn id="4" xr3:uid="{BAF9E9CA-028D-A149-95B6-04A36E824151}" uniqueName="4" name="Cumulative Revenue (£)" queryTableFieldId="4" dataDxfId="3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AEE42F-0AFF-054B-8783-3FCB46E560C9}" name="tbl_EstimatedLtv" displayName="tbl_EstimatedLtv" ref="A1:E7" tableType="queryTable" totalsRowShown="0">
  <tableColumns count="5">
    <tableColumn id="1" xr3:uid="{51B6CFA6-271D-FD49-9AC4-5A211D3D4FD8}" uniqueName="1" name="Contract" queryTableFieldId="1" dataDxfId="37"/>
    <tableColumn id="2" xr3:uid="{52C976A7-AE2D-C044-8176-45EB92682348}" uniqueName="2" name="Churn Status" queryTableFieldId="2" dataDxfId="36"/>
    <tableColumn id="3" xr3:uid="{BFDA7183-A9DF-7547-9B80-FD8EFBF1143A}" uniqueName="3" name="Avg Tenure (Months)" queryTableFieldId="3" dataDxfId="35"/>
    <tableColumn id="4" xr3:uid="{42CA8BED-FE00-E64A-924E-24A2CC698A14}" uniqueName="4" name="Avg Monthly Charge (£)" queryTableFieldId="4" dataDxfId="34"/>
    <tableColumn id="5" xr3:uid="{60193BA9-4185-0247-8293-19B0D3A8DAF0}" uniqueName="5" name="Estimated LTV (£)" queryTableFieldId="5" dataDxfId="3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B317706-F563-B14A-8210-34A95DC13F87}" name="tbl_RevenueByContractAnalysis" displayName="tbl_RevenueByContractAnalysis" ref="A8:F11" totalsRowShown="0" headerRowDxfId="32">
  <autoFilter ref="A8:F11" xr:uid="{6B317706-F563-B14A-8210-34A95DC13F87}"/>
  <sortState xmlns:xlrd2="http://schemas.microsoft.com/office/spreadsheetml/2017/richdata2" ref="A9:F11">
    <sortCondition descending="1" ref="E8:E11"/>
  </sortState>
  <tableColumns count="6">
    <tableColumn id="1" xr3:uid="{E86863DF-E2D2-684B-B2A3-2232E3E86871}" name="Pillar"/>
    <tableColumn id="2" xr3:uid="{BDDB6A50-5113-F845-B1EF-E17D514DDDFA}" name="Segment Type"/>
    <tableColumn id="3" xr3:uid="{73777591-BC5C-334D-938B-7AF5B18CCA18}" name="Segment"/>
    <tableColumn id="4" xr3:uid="{D5E474F5-FFE9-BA4C-BFC9-4507E31BF7A9}" name="Total Revenue (£)">
      <calculatedColumnFormula>revenue_by_contract!C2</calculatedColumnFormula>
    </tableColumn>
    <tableColumn id="5" xr3:uid="{2AFEF1E9-8D54-114A-89CC-6B7D128F8D36}" name="Avg Revenue per Customer (£)">
      <calculatedColumnFormula>revenue_by_contract!D2</calculatedColumnFormula>
    </tableColumn>
    <tableColumn id="6" xr3:uid="{BB419DDC-2809-EF45-9B2C-B121285AEB4A}" name="Avg Monthly Charge (£)">
      <calculatedColumnFormula>revenue_by_contract!E2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A93AF09-C913-B641-932B-8727AAC7C4CA}" name="tbl_RevenueByTierAnalysis" displayName="tbl_RevenueByTierAnalysis" ref="A13:G16" totalsRowShown="0" headerRowDxfId="31">
  <autoFilter ref="A13:G16" xr:uid="{0A93AF09-C913-B641-932B-8727AAC7C4CA}"/>
  <tableColumns count="7">
    <tableColumn id="1" xr3:uid="{3FF66D37-D6E9-7442-9CD5-22171BB0EBA1}" name="Pillar"/>
    <tableColumn id="2" xr3:uid="{C4FAF19C-5399-464E-9BCE-307B6D7E9A89}" name="Segment Type"/>
    <tableColumn id="3" xr3:uid="{C8C56F1E-8BE4-2848-848D-3A6480CB4A57}" name="Revenue Tier"/>
    <tableColumn id="4" xr3:uid="{7E1DEDAD-A7F3-B44E-9F38-54A01E905235}" name="Total Customers">
      <calculatedColumnFormula>revenue_tiers!B2</calculatedColumnFormula>
    </tableColumn>
    <tableColumn id="5" xr3:uid="{18EAF44F-360A-1C43-A0E7-60E7D3077E9D}" name="Churned">
      <calculatedColumnFormula>revenue_tiers!C2</calculatedColumnFormula>
    </tableColumn>
    <tableColumn id="6" xr3:uid="{49476F38-3FAC-6347-AB5C-C06C6D0009D3}" name="Churn Rate (%)">
      <calculatedColumnFormula>revenue_tiers!D2</calculatedColumnFormula>
    </tableColumn>
    <tableColumn id="7" xr3:uid="{31CFFC3E-7597-A34F-A951-830829C47A2C}" name="Avg Monthly Charge (£)">
      <calculatedColumnFormula>revenue_tiers!E2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CED8ED7-6A71-6041-A2BD-A029148C82B9}" name="tbl_EstimatedLTVAnalysis" displayName="tbl_EstimatedLTVAnalysis" ref="A18:F24" totalsRowShown="0" headerRowDxfId="30" dataDxfId="29">
  <autoFilter ref="A18:F24" xr:uid="{ACED8ED7-6A71-6041-A2BD-A029148C82B9}"/>
  <tableColumns count="6">
    <tableColumn id="1" xr3:uid="{504816ED-3656-B945-A852-CA8DC49B03DD}" name="Pillar" dataDxfId="28"/>
    <tableColumn id="2" xr3:uid="{0006313D-C46B-3D40-8569-D8C6B104A40D}" name="Contract" dataDxfId="27"/>
    <tableColumn id="3" xr3:uid="{2D3F6425-1D3F-F948-B816-9C711BF203FE}" name="Churn Status" dataDxfId="26"/>
    <tableColumn id="4" xr3:uid="{4D0F3B6B-92B7-8641-B752-4F04CB3610EA}" name="Avg Tenure (Months)" dataDxfId="25">
      <calculatedColumnFormula>estimated_ltv!C2</calculatedColumnFormula>
    </tableColumn>
    <tableColumn id="5" xr3:uid="{42AC34FA-10AA-D346-AB18-4E1E0104B480}" name="Avg Monthly Charge (£)" dataDxfId="24">
      <calculatedColumnFormula>estimated_ltv!D2</calculatedColumnFormula>
    </tableColumn>
    <tableColumn id="6" xr3:uid="{B9C2B906-F676-314D-91BA-E5D4F30EAB03}" name="Estimated LTV (£)" dataDxfId="23">
      <calculatedColumnFormula>estimated_ltv!E2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E0CD1B5-7728-6B47-AF8D-3811B9E613E5}" name="Table25" displayName="Table25" ref="D2:E3" totalsRowShown="0">
  <autoFilter ref="D2:E3" xr:uid="{2E0CD1B5-7728-6B47-AF8D-3811B9E613E5}"/>
  <tableColumns count="2">
    <tableColumn id="1" xr3:uid="{04B189D6-E4BB-AE4A-BEC0-F3F968E9F9B9}" name="Retained"/>
    <tableColumn id="2" xr3:uid="{1099D392-20B1-8043-9302-4AE59FC54560}" name="Los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4053C0-CAB4-E947-985A-208FCE83A6E0}" name="tbl_ChurnByContract" displayName="tbl_ChurnByContract" ref="A1:D4" tableType="queryTable" totalsRowShown="0">
  <tableColumns count="4">
    <tableColumn id="1" xr3:uid="{D56629C9-3812-FD43-8309-8BDCEB565E80}" uniqueName="1" name="Contract" queryTableFieldId="1" dataDxfId="22"/>
    <tableColumn id="2" xr3:uid="{42585BDA-1D11-A646-B6F3-C286D5FD68D7}" uniqueName="2" name="Total Customers" queryTableFieldId="2" dataDxfId="21"/>
    <tableColumn id="3" xr3:uid="{D4A88F21-4DC6-C24F-BDDF-563CC071402B}" uniqueName="3" name="Churned" queryTableFieldId="3" dataDxfId="20"/>
    <tableColumn id="4" xr3:uid="{72DD866A-7D08-9F4D-BA44-DB0E533EA7FB}" uniqueName="4" name="Churn Rate (%)" queryTableFieldId="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B0BB4A-131C-724C-9AE7-2811BA508C05}" name="tbl_ChurnByTenureBand" displayName="tbl_ChurnByTenureBand" ref="A1:D4" tableType="queryTable" totalsRowShown="0">
  <tableColumns count="4">
    <tableColumn id="1" xr3:uid="{82F042B7-2794-B14A-9ABC-19A7BB44953D}" uniqueName="1" name="Tenure Band" queryTableFieldId="1" dataDxfId="19"/>
    <tableColumn id="2" xr3:uid="{A12BE118-5429-534A-8483-71C82ED1E065}" uniqueName="2" name="Total Customers" queryTableFieldId="2" dataDxfId="18"/>
    <tableColumn id="3" xr3:uid="{3A546F16-B392-834A-907F-B6DD4A1CEB91}" uniqueName="3" name="Churned" queryTableFieldId="3" dataDxfId="17"/>
    <tableColumn id="4" xr3:uid="{89141EF1-94F1-1147-92B0-1EA1392E45A4}" uniqueName="4" name="Churn Rate (%)" queryTableFieldId="4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96E97E-8005-0342-ADA5-0AFA8E510FFA}" name="tbl_ChurnByInternetService" displayName="tbl_ChurnByInternetService" ref="A1:D4" tableType="queryTable" totalsRowShown="0">
  <tableColumns count="4">
    <tableColumn id="1" xr3:uid="{84F0AE6A-0373-2B4D-BB37-A21BC908C70F}" uniqueName="1" name="Internet Service" queryTableFieldId="1" dataDxfId="16"/>
    <tableColumn id="2" xr3:uid="{2CCD4A0C-0CF5-114C-A8C5-8251C68E4A04}" uniqueName="2" name="Total Customers" queryTableFieldId="2" dataDxfId="15"/>
    <tableColumn id="3" xr3:uid="{5A0B40F0-3669-A743-8C20-86697DC654A6}" uniqueName="3" name="Churned" queryTableFieldId="3" dataDxfId="14"/>
    <tableColumn id="4" xr3:uid="{21F04279-CD67-7A40-95E1-163F797F6EDD}" uniqueName="4" name="Churn Rate (%)" queryTableFieldId="4" dataDxfId="13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FB6412-8094-DA4E-8768-8C11BE673C55}" name="tbl_ChurnByPaymentMethod" displayName="tbl_ChurnByPaymentMethod" ref="A1:D5" tableType="queryTable" totalsRowShown="0">
  <tableColumns count="4">
    <tableColumn id="1" xr3:uid="{138D23F9-AD26-A04F-99A8-164B8B1A882F}" uniqueName="1" name="Payment Method" queryTableFieldId="1" dataDxfId="12"/>
    <tableColumn id="2" xr3:uid="{43A402BF-FED5-E244-B58B-C4957CAFCBCA}" uniqueName="2" name="Total Customers" queryTableFieldId="2" dataDxfId="11"/>
    <tableColumn id="3" xr3:uid="{A92E7CDB-DFD9-AE40-ABCE-8173A9A994AF}" uniqueName="3" name="Churned" queryTableFieldId="3" dataDxfId="10"/>
    <tableColumn id="4" xr3:uid="{3A6C26CE-A919-1D4C-84DD-0D19C759933D}" uniqueName="4" name="Churn Rate (%)" queryTableFieldId="4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4C534A-5C5D-0F42-AA8B-625A714BA9F7}" name="tbl_AvgTenureByChurn" displayName="tbl_AvgTenureByChurn" ref="A1:D3" tableType="queryTable" totalsRowShown="0">
  <tableColumns count="4">
    <tableColumn id="1" xr3:uid="{64F7019A-05E0-4D42-A641-10D3554BE79C}" uniqueName="1" name="Churn Status" queryTableFieldId="1" dataDxfId="9"/>
    <tableColumn id="2" xr3:uid="{05EFC912-1246-4B49-B1B4-7863CD61127E}" uniqueName="2" name="Avg Tenure (Months)" queryTableFieldId="2"/>
    <tableColumn id="3" xr3:uid="{F32C7290-CE95-1F49-A950-CB5AFE2CED0C}" uniqueName="3" name="Min Tenure" queryTableFieldId="3"/>
    <tableColumn id="4" xr3:uid="{36AC6A38-769F-184C-84C6-03B589574F0F}" uniqueName="4" name="Max Tenure" queryTableFieldId="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9E659-D800-CF4F-ADF5-1C341435C1AE}" name="tbl_AvgChargesByChurn" displayName="tbl_AvgChargesByChurn" ref="A1:E3" tableType="queryTable" totalsRowShown="0">
  <tableColumns count="5">
    <tableColumn id="1" xr3:uid="{234056C6-98F8-5E47-B399-246E7FBC4A35}" uniqueName="1" name="Churn Status" queryTableFieldId="1" dataDxfId="8"/>
    <tableColumn id="2" xr3:uid="{B70B7BBC-957C-8C45-A8D4-75FCF00271D2}" uniqueName="2" name="Avg Monthly Charge (£)" queryTableFieldId="2" dataDxfId="7"/>
    <tableColumn id="3" xr3:uid="{B286954C-7E8B-1A49-A561-F9882F36B769}" uniqueName="3" name="Min Charge (£)" queryTableFieldId="3" dataDxfId="6"/>
    <tableColumn id="4" xr3:uid="{50516694-57F1-9848-B770-949AEF906968}" uniqueName="4" name="Max Charge (£)" queryTableFieldId="4" dataDxfId="5"/>
    <tableColumn id="5" xr3:uid="{6FF4BCCE-D0A2-EF42-BCEA-B53CF722C777}" uniqueName="5" name="Std Dev" queryTableFieldId="5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BD45C04-0073-B940-9D78-72FC6E241924}" name="tbl_ChurnAnalysis" displayName="tbl_ChurnAnalysis" ref="A1:H14" totalsRowShown="0" headerRowDxfId="4">
  <autoFilter ref="A1:H14" xr:uid="{DBD45C04-0073-B940-9D78-72FC6E241924}"/>
  <tableColumns count="8">
    <tableColumn id="1" xr3:uid="{8810021D-23FA-0548-B802-3577E4725D5C}" name="Pillar"/>
    <tableColumn id="2" xr3:uid="{D8EF2BF8-39D1-8244-BC01-0588D6E957E1}" name="Segment Type"/>
    <tableColumn id="3" xr3:uid="{37690FB7-0A20-804C-9D4B-17490C5C5F0B}" name="Segment"/>
    <tableColumn id="4" xr3:uid="{BE9ACFFF-97FC-8246-B50E-BE543589719A}" name="Total Customers" dataDxfId="3"/>
    <tableColumn id="5" xr3:uid="{14B72AF0-895D-834C-9B32-09634EBF4102}" name="Churned" dataDxfId="2"/>
    <tableColumn id="6" xr3:uid="{F8C8EC2C-B98E-784E-89F0-AB0A1609CD23}" name="Churn Rate (%)" dataDxfId="1"/>
    <tableColumn id="7" xr3:uid="{9AC0D990-1958-4745-8C39-F4A275B3FCFE}" name="Annualised Revenue Loss (£)" dataDxfId="0">
      <calculatedColumnFormula>E2*avg_charges_by_churn!$B$3*12</calculatedColumnFormula>
    </tableColumn>
    <tableColumn id="8" xr3:uid="{4F86034C-2216-6B49-9F26-B15126EA8FD2}" name="Risk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Relationship Id="rId4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3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856D-1BC3-994B-9661-D6B3D1435CF8}">
  <dimension ref="A1:G4"/>
  <sheetViews>
    <sheetView workbookViewId="0"/>
  </sheetViews>
  <sheetFormatPr baseColWidth="10" defaultRowHeight="16"/>
  <cols>
    <col min="1" max="1" width="14.5" bestFit="1" customWidth="1"/>
    <col min="2" max="2" width="16.1640625" bestFit="1" customWidth="1"/>
    <col min="3" max="3" width="17.1640625" bestFit="1" customWidth="1"/>
    <col min="4" max="4" width="13.83203125" bestFit="1" customWidth="1"/>
    <col min="5" max="5" width="17.33203125" bestFit="1" customWidth="1"/>
    <col min="6" max="6" width="10.33203125" bestFit="1" customWidth="1"/>
    <col min="7" max="7" width="16" bestFit="1" customWidth="1"/>
  </cols>
  <sheetData>
    <row r="1" spans="1:7">
      <c r="A1" t="s">
        <v>2</v>
      </c>
      <c r="B1" t="s">
        <v>40</v>
      </c>
      <c r="C1" t="s">
        <v>41</v>
      </c>
      <c r="D1" t="s">
        <v>39</v>
      </c>
      <c r="E1" t="s">
        <v>35</v>
      </c>
      <c r="F1" t="s">
        <v>36</v>
      </c>
      <c r="G1" t="s">
        <v>34</v>
      </c>
    </row>
    <row r="2" spans="1:7">
      <c r="A2" t="s">
        <v>3</v>
      </c>
      <c r="B2" t="s">
        <v>6</v>
      </c>
      <c r="C2" t="s">
        <v>8</v>
      </c>
      <c r="D2" t="s">
        <v>12</v>
      </c>
      <c r="E2">
        <v>631</v>
      </c>
      <c r="F2">
        <v>449</v>
      </c>
      <c r="G2">
        <v>71.16</v>
      </c>
    </row>
    <row r="3" spans="1:7">
      <c r="A3" t="s">
        <v>3</v>
      </c>
      <c r="B3" t="s">
        <v>6</v>
      </c>
      <c r="C3" t="s">
        <v>8</v>
      </c>
      <c r="D3" t="s">
        <v>13</v>
      </c>
      <c r="E3">
        <v>429</v>
      </c>
      <c r="F3">
        <v>240</v>
      </c>
      <c r="G3">
        <v>55.94</v>
      </c>
    </row>
    <row r="4" spans="1:7">
      <c r="A4" t="s">
        <v>3</v>
      </c>
      <c r="B4" t="s">
        <v>6</v>
      </c>
      <c r="C4" t="s">
        <v>8</v>
      </c>
      <c r="D4" t="s">
        <v>14</v>
      </c>
      <c r="E4">
        <v>247</v>
      </c>
      <c r="F4">
        <v>100</v>
      </c>
      <c r="G4">
        <v>40.49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8DAE-C6B2-C94B-9179-AF0AFA8C8F6A}">
  <dimension ref="A1:D6"/>
  <sheetViews>
    <sheetView workbookViewId="0">
      <selection activeCell="A2" sqref="A2"/>
    </sheetView>
  </sheetViews>
  <sheetFormatPr baseColWidth="10" defaultRowHeight="16"/>
  <cols>
    <col min="1" max="1" width="15.1640625" bestFit="1" customWidth="1"/>
    <col min="2" max="2" width="16" bestFit="1" customWidth="1"/>
    <col min="3" max="3" width="27.5" bestFit="1" customWidth="1"/>
    <col min="4" max="4" width="19.5" bestFit="1" customWidth="1"/>
  </cols>
  <sheetData>
    <row r="1" spans="1:4">
      <c r="A1" t="s">
        <v>64</v>
      </c>
      <c r="B1" t="s">
        <v>34</v>
      </c>
      <c r="C1" t="s">
        <v>63</v>
      </c>
      <c r="D1" t="s">
        <v>62</v>
      </c>
    </row>
    <row r="2" spans="1:4">
      <c r="A2" t="s">
        <v>15</v>
      </c>
      <c r="B2">
        <v>47.44</v>
      </c>
      <c r="C2" t="s">
        <v>16</v>
      </c>
      <c r="D2" t="s">
        <v>16</v>
      </c>
    </row>
    <row r="3" spans="1:4">
      <c r="A3" t="s">
        <v>17</v>
      </c>
      <c r="B3">
        <v>28.71</v>
      </c>
      <c r="C3" t="s">
        <v>18</v>
      </c>
      <c r="D3" t="s">
        <v>19</v>
      </c>
    </row>
    <row r="4" spans="1:4">
      <c r="A4" t="s">
        <v>20</v>
      </c>
      <c r="B4">
        <v>21.63</v>
      </c>
      <c r="C4" t="s">
        <v>21</v>
      </c>
      <c r="D4" t="s">
        <v>22</v>
      </c>
    </row>
    <row r="5" spans="1:4">
      <c r="A5" t="s">
        <v>23</v>
      </c>
      <c r="B5">
        <v>19.03</v>
      </c>
      <c r="C5" t="s">
        <v>24</v>
      </c>
      <c r="D5" t="s">
        <v>25</v>
      </c>
    </row>
    <row r="6" spans="1:4">
      <c r="A6" t="s">
        <v>26</v>
      </c>
      <c r="B6">
        <v>9.51</v>
      </c>
      <c r="C6" t="s">
        <v>27</v>
      </c>
      <c r="D6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9C32-C00C-4D48-9409-C4D4465BDD99}">
  <dimension ref="A1:L11"/>
  <sheetViews>
    <sheetView topLeftCell="E1" workbookViewId="0">
      <selection activeCell="K21" sqref="K21"/>
    </sheetView>
  </sheetViews>
  <sheetFormatPr baseColWidth="10" defaultRowHeight="16"/>
  <cols>
    <col min="1" max="1" width="14.5" bestFit="1" customWidth="1"/>
    <col min="2" max="3" width="13.83203125" bestFit="1" customWidth="1"/>
    <col min="4" max="4" width="17.33203125" bestFit="1" customWidth="1"/>
    <col min="5" max="5" width="10.33203125" bestFit="1" customWidth="1"/>
    <col min="6" max="6" width="16" bestFit="1" customWidth="1"/>
    <col min="7" max="7" width="38.1640625" bestFit="1" customWidth="1"/>
    <col min="8" max="8" width="19" bestFit="1" customWidth="1"/>
    <col min="9" max="9" width="37" bestFit="1" customWidth="1"/>
    <col min="10" max="10" width="17.33203125" bestFit="1" customWidth="1"/>
    <col min="11" max="11" width="17.1640625" customWidth="1"/>
  </cols>
  <sheetData>
    <row r="1" spans="1:12">
      <c r="A1" t="s">
        <v>2</v>
      </c>
      <c r="B1" t="s">
        <v>39</v>
      </c>
      <c r="C1" t="s">
        <v>54</v>
      </c>
      <c r="D1" t="s">
        <v>35</v>
      </c>
      <c r="E1" t="s">
        <v>36</v>
      </c>
      <c r="F1" t="s">
        <v>34</v>
      </c>
      <c r="I1" t="s">
        <v>110</v>
      </c>
      <c r="J1" t="s">
        <v>34</v>
      </c>
      <c r="K1" t="s">
        <v>35</v>
      </c>
      <c r="L1" t="s">
        <v>36</v>
      </c>
    </row>
    <row r="2" spans="1:12">
      <c r="A2" t="s">
        <v>3</v>
      </c>
      <c r="B2" t="s">
        <v>12</v>
      </c>
      <c r="C2" t="s">
        <v>31</v>
      </c>
      <c r="D2">
        <v>860</v>
      </c>
      <c r="E2">
        <v>595</v>
      </c>
      <c r="F2">
        <v>69.19</v>
      </c>
      <c r="I2" t="str">
        <f>A2 &amp; " | " &amp; B2 &amp; " | " &amp; C2</f>
        <v>Month-to-month | 0-12 months | High value</v>
      </c>
      <c r="J2">
        <v>69.19</v>
      </c>
      <c r="K2">
        <v>860</v>
      </c>
      <c r="L2">
        <v>595</v>
      </c>
    </row>
    <row r="3" spans="1:12">
      <c r="A3" t="s">
        <v>3</v>
      </c>
      <c r="B3" t="s">
        <v>13</v>
      </c>
      <c r="C3" t="s">
        <v>31</v>
      </c>
      <c r="D3">
        <v>753</v>
      </c>
      <c r="E3">
        <v>350</v>
      </c>
      <c r="F3">
        <v>46.48</v>
      </c>
      <c r="I3" t="str">
        <f t="shared" ref="I3:I11" si="0">A3 &amp; " | " &amp; B3 &amp; " | " &amp; C3</f>
        <v>Month-to-month | 13-36 months | High value</v>
      </c>
      <c r="J3">
        <v>46.48</v>
      </c>
      <c r="K3">
        <v>753</v>
      </c>
      <c r="L3">
        <v>350</v>
      </c>
    </row>
    <row r="4" spans="1:12">
      <c r="A4" t="s">
        <v>3</v>
      </c>
      <c r="B4" t="s">
        <v>12</v>
      </c>
      <c r="C4" t="s">
        <v>32</v>
      </c>
      <c r="D4">
        <v>627</v>
      </c>
      <c r="E4">
        <v>282</v>
      </c>
      <c r="F4">
        <v>44.98</v>
      </c>
      <c r="I4" t="str">
        <f t="shared" si="0"/>
        <v>Month-to-month | 0-12 months | Mid value</v>
      </c>
      <c r="J4">
        <v>44.98</v>
      </c>
      <c r="K4">
        <v>627</v>
      </c>
      <c r="L4">
        <v>282</v>
      </c>
    </row>
    <row r="5" spans="1:12">
      <c r="A5" t="s">
        <v>3</v>
      </c>
      <c r="B5" t="s">
        <v>14</v>
      </c>
      <c r="C5" t="s">
        <v>31</v>
      </c>
      <c r="D5">
        <v>491</v>
      </c>
      <c r="E5">
        <v>166</v>
      </c>
      <c r="F5">
        <v>33.81</v>
      </c>
      <c r="I5" t="str">
        <f t="shared" si="0"/>
        <v>Month-to-month | 37+ months | High value</v>
      </c>
      <c r="J5">
        <v>33.81</v>
      </c>
      <c r="K5">
        <v>491</v>
      </c>
      <c r="L5">
        <v>166</v>
      </c>
    </row>
    <row r="6" spans="1:12">
      <c r="A6" t="s">
        <v>3</v>
      </c>
      <c r="B6" t="s">
        <v>12</v>
      </c>
      <c r="C6" t="s">
        <v>33</v>
      </c>
      <c r="D6">
        <v>507</v>
      </c>
      <c r="E6">
        <v>147</v>
      </c>
      <c r="F6">
        <v>28.99</v>
      </c>
      <c r="I6" t="str">
        <f t="shared" si="0"/>
        <v>Month-to-month | 0-12 months | Low value</v>
      </c>
      <c r="J6">
        <v>28.99</v>
      </c>
      <c r="K6">
        <v>507</v>
      </c>
      <c r="L6">
        <v>147</v>
      </c>
    </row>
    <row r="7" spans="1:12">
      <c r="A7" t="s">
        <v>4</v>
      </c>
      <c r="B7" t="s">
        <v>12</v>
      </c>
      <c r="C7" t="s">
        <v>31</v>
      </c>
      <c r="D7">
        <v>15</v>
      </c>
      <c r="E7">
        <v>4</v>
      </c>
      <c r="F7">
        <v>26.67</v>
      </c>
      <c r="I7" t="str">
        <f t="shared" si="0"/>
        <v>One year | 0-12 months | High value</v>
      </c>
      <c r="J7">
        <v>26.67</v>
      </c>
      <c r="K7">
        <v>15</v>
      </c>
      <c r="L7">
        <v>4</v>
      </c>
    </row>
    <row r="8" spans="1:12">
      <c r="A8" t="s">
        <v>3</v>
      </c>
      <c r="B8" t="s">
        <v>13</v>
      </c>
      <c r="C8" t="s">
        <v>32</v>
      </c>
      <c r="D8">
        <v>305</v>
      </c>
      <c r="E8">
        <v>67</v>
      </c>
      <c r="F8">
        <v>21.97</v>
      </c>
      <c r="I8" t="str">
        <f t="shared" si="0"/>
        <v>Month-to-month | 13-36 months | Mid value</v>
      </c>
      <c r="J8">
        <v>21.97</v>
      </c>
      <c r="K8">
        <v>305</v>
      </c>
      <c r="L8">
        <v>67</v>
      </c>
    </row>
    <row r="9" spans="1:12">
      <c r="A9" t="s">
        <v>3</v>
      </c>
      <c r="B9" t="s">
        <v>14</v>
      </c>
      <c r="C9" t="s">
        <v>32</v>
      </c>
      <c r="D9">
        <v>135</v>
      </c>
      <c r="E9">
        <v>24</v>
      </c>
      <c r="F9">
        <v>17.78</v>
      </c>
      <c r="I9" t="str">
        <f t="shared" si="0"/>
        <v>Month-to-month | 37+ months | Mid value</v>
      </c>
      <c r="J9">
        <v>17.78</v>
      </c>
      <c r="K9">
        <v>135</v>
      </c>
      <c r="L9">
        <v>24</v>
      </c>
    </row>
    <row r="10" spans="1:12">
      <c r="A10" t="s">
        <v>4</v>
      </c>
      <c r="B10" t="s">
        <v>14</v>
      </c>
      <c r="C10" t="s">
        <v>31</v>
      </c>
      <c r="D10">
        <v>563</v>
      </c>
      <c r="E10">
        <v>98</v>
      </c>
      <c r="F10">
        <v>17.41</v>
      </c>
      <c r="I10" t="str">
        <f t="shared" si="0"/>
        <v>One year | 37+ months | High value</v>
      </c>
      <c r="J10">
        <v>17.41</v>
      </c>
      <c r="K10">
        <v>563</v>
      </c>
      <c r="L10">
        <v>98</v>
      </c>
    </row>
    <row r="11" spans="1:12">
      <c r="A11" t="s">
        <v>4</v>
      </c>
      <c r="B11" t="s">
        <v>13</v>
      </c>
      <c r="C11" t="s">
        <v>31</v>
      </c>
      <c r="D11">
        <v>140</v>
      </c>
      <c r="E11">
        <v>24</v>
      </c>
      <c r="F11">
        <v>17.14</v>
      </c>
      <c r="I11" t="str">
        <f t="shared" si="0"/>
        <v>One year | 13-36 months | High value</v>
      </c>
      <c r="J11">
        <v>17.14</v>
      </c>
      <c r="K11">
        <v>140</v>
      </c>
      <c r="L11">
        <v>24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86AC-8B15-7E42-9B2D-B27705ED4D02}">
  <dimension ref="A1:E4"/>
  <sheetViews>
    <sheetView workbookViewId="0">
      <selection activeCell="B2" sqref="B2"/>
    </sheetView>
  </sheetViews>
  <sheetFormatPr baseColWidth="10" defaultRowHeight="16"/>
  <cols>
    <col min="1" max="1" width="14.5" bestFit="1" customWidth="1"/>
    <col min="2" max="2" width="14.83203125" bestFit="1" customWidth="1"/>
    <col min="3" max="3" width="20.83203125" bestFit="1" customWidth="1"/>
    <col min="4" max="4" width="17.6640625" bestFit="1" customWidth="1"/>
    <col min="5" max="5" width="19.33203125" bestFit="1" customWidth="1"/>
  </cols>
  <sheetData>
    <row r="1" spans="1:5">
      <c r="A1" t="s">
        <v>2</v>
      </c>
      <c r="B1" t="s">
        <v>35</v>
      </c>
      <c r="C1" t="s">
        <v>59</v>
      </c>
      <c r="D1" t="s">
        <v>55</v>
      </c>
      <c r="E1" t="s">
        <v>58</v>
      </c>
    </row>
    <row r="2" spans="1:5">
      <c r="A2" t="s">
        <v>3</v>
      </c>
      <c r="B2" s="2">
        <v>3875</v>
      </c>
      <c r="C2">
        <v>55.02</v>
      </c>
      <c r="D2" s="1">
        <v>257294.15</v>
      </c>
      <c r="E2">
        <v>56.41</v>
      </c>
    </row>
    <row r="3" spans="1:5">
      <c r="A3" t="s">
        <v>4</v>
      </c>
      <c r="B3" s="2">
        <v>1473</v>
      </c>
      <c r="C3">
        <v>20.91</v>
      </c>
      <c r="D3" s="1">
        <v>95816.6</v>
      </c>
      <c r="E3">
        <v>21.01</v>
      </c>
    </row>
    <row r="4" spans="1:5">
      <c r="A4" t="s">
        <v>5</v>
      </c>
      <c r="B4" s="2">
        <v>1695</v>
      </c>
      <c r="C4">
        <v>24.07</v>
      </c>
      <c r="D4" s="1">
        <v>103005.85</v>
      </c>
      <c r="E4">
        <v>22.58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AB99-BBCF-6840-B125-D98707C108C3}">
  <dimension ref="A1:G4"/>
  <sheetViews>
    <sheetView workbookViewId="0">
      <selection activeCell="A4" sqref="A4"/>
    </sheetView>
  </sheetViews>
  <sheetFormatPr baseColWidth="10" defaultRowHeight="16"/>
  <cols>
    <col min="1" max="1" width="16.1640625" bestFit="1" customWidth="1"/>
    <col min="2" max="2" width="14.83203125" bestFit="1" customWidth="1"/>
    <col min="3" max="3" width="20.83203125" bestFit="1" customWidth="1"/>
    <col min="4" max="4" width="18.1640625" bestFit="1" customWidth="1"/>
    <col min="5" max="5" width="19.33203125" bestFit="1" customWidth="1"/>
    <col min="6" max="6" width="10.33203125" bestFit="1" customWidth="1"/>
    <col min="7" max="7" width="16" bestFit="1" customWidth="1"/>
  </cols>
  <sheetData>
    <row r="1" spans="1:7">
      <c r="A1" t="s">
        <v>40</v>
      </c>
      <c r="B1" t="s">
        <v>35</v>
      </c>
      <c r="C1" t="s">
        <v>59</v>
      </c>
      <c r="D1" t="s">
        <v>55</v>
      </c>
      <c r="E1" t="s">
        <v>58</v>
      </c>
      <c r="F1" t="s">
        <v>36</v>
      </c>
      <c r="G1" t="s">
        <v>34</v>
      </c>
    </row>
    <row r="2" spans="1:7">
      <c r="A2" t="s">
        <v>6</v>
      </c>
      <c r="B2" s="2">
        <v>3096</v>
      </c>
      <c r="C2">
        <v>43.96</v>
      </c>
      <c r="D2" s="1">
        <v>283284.40000000002</v>
      </c>
      <c r="E2">
        <v>62.11</v>
      </c>
      <c r="F2" s="2">
        <v>1297</v>
      </c>
      <c r="G2" s="3">
        <v>41.89</v>
      </c>
    </row>
    <row r="3" spans="1:7">
      <c r="A3" t="s">
        <v>7</v>
      </c>
      <c r="B3" s="2">
        <v>2421</v>
      </c>
      <c r="C3">
        <v>34.369999999999997</v>
      </c>
      <c r="D3" s="1">
        <v>140665.35</v>
      </c>
      <c r="E3">
        <v>30.84</v>
      </c>
      <c r="F3" s="2">
        <v>459</v>
      </c>
      <c r="G3" s="3">
        <v>18.96</v>
      </c>
    </row>
    <row r="4" spans="1:7">
      <c r="A4" t="s">
        <v>0</v>
      </c>
      <c r="B4" s="2">
        <v>1526</v>
      </c>
      <c r="C4">
        <v>21.67</v>
      </c>
      <c r="D4" s="1">
        <v>32166.85</v>
      </c>
      <c r="E4">
        <v>7.05</v>
      </c>
      <c r="F4" s="2">
        <v>113</v>
      </c>
      <c r="G4" s="3">
        <v>7.4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7070-F502-F64F-A5D8-852A4C85B9F7}">
  <dimension ref="A1:D3"/>
  <sheetViews>
    <sheetView workbookViewId="0">
      <selection activeCell="D11" sqref="D11"/>
    </sheetView>
  </sheetViews>
  <sheetFormatPr baseColWidth="10" defaultRowHeight="16"/>
  <cols>
    <col min="1" max="1" width="12.5" bestFit="1" customWidth="1"/>
    <col min="2" max="2" width="17.33203125" bestFit="1" customWidth="1"/>
    <col min="3" max="3" width="17.1640625" bestFit="1" customWidth="1"/>
    <col min="4" max="4" width="16" bestFit="1" customWidth="1"/>
  </cols>
  <sheetData>
    <row r="1" spans="1:4">
      <c r="A1" t="s">
        <v>60</v>
      </c>
      <c r="B1" t="s">
        <v>35</v>
      </c>
      <c r="C1" t="s">
        <v>36</v>
      </c>
      <c r="D1" t="s">
        <v>34</v>
      </c>
    </row>
    <row r="2" spans="1:4">
      <c r="A2" t="s">
        <v>29</v>
      </c>
      <c r="B2" s="2">
        <v>6229</v>
      </c>
      <c r="C2" s="2">
        <v>1303</v>
      </c>
      <c r="D2">
        <v>20.92</v>
      </c>
    </row>
    <row r="3" spans="1:4">
      <c r="A3" t="s">
        <v>30</v>
      </c>
      <c r="B3" s="2">
        <v>814</v>
      </c>
      <c r="C3" s="2">
        <v>566</v>
      </c>
      <c r="D3">
        <v>69.53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7B82-0636-944F-A486-B914D05F8875}">
  <dimension ref="A1:H13"/>
  <sheetViews>
    <sheetView workbookViewId="0">
      <selection activeCell="C12" sqref="C12"/>
    </sheetView>
  </sheetViews>
  <sheetFormatPr baseColWidth="10" defaultRowHeight="16"/>
  <cols>
    <col min="1" max="1" width="7.83203125" customWidth="1"/>
    <col min="2" max="2" width="14.83203125" customWidth="1"/>
    <col min="3" max="4" width="17.1640625" customWidth="1"/>
    <col min="5" max="6" width="20" customWidth="1"/>
    <col min="7" max="7" width="18.6640625" customWidth="1"/>
    <col min="8" max="8" width="15.83203125" customWidth="1"/>
  </cols>
  <sheetData>
    <row r="1" spans="1:8">
      <c r="A1" s="31" t="s">
        <v>66</v>
      </c>
      <c r="B1" s="31" t="s">
        <v>99</v>
      </c>
      <c r="C1" s="31" t="s">
        <v>100</v>
      </c>
      <c r="D1" s="31" t="s">
        <v>35</v>
      </c>
      <c r="E1" s="31" t="s">
        <v>59</v>
      </c>
      <c r="F1" s="31" t="s">
        <v>55</v>
      </c>
      <c r="G1" s="31" t="s">
        <v>58</v>
      </c>
    </row>
    <row r="2" spans="1:8">
      <c r="A2" s="22" t="s">
        <v>72</v>
      </c>
      <c r="B2" s="22" t="s">
        <v>2</v>
      </c>
      <c r="C2" s="22" t="s">
        <v>3</v>
      </c>
      <c r="D2" s="47">
        <f>concentration_risk!B2</f>
        <v>3875</v>
      </c>
      <c r="E2" s="22">
        <f>concentration_risk!C2</f>
        <v>55.02</v>
      </c>
      <c r="F2" s="37">
        <f>concentration_risk!D2</f>
        <v>257294.15</v>
      </c>
      <c r="G2" s="50">
        <f>concentration_risk!E2</f>
        <v>56.41</v>
      </c>
    </row>
    <row r="3" spans="1:8">
      <c r="A3" s="25" t="s">
        <v>72</v>
      </c>
      <c r="B3" s="25" t="s">
        <v>2</v>
      </c>
      <c r="C3" s="25" t="s">
        <v>4</v>
      </c>
      <c r="D3" s="49">
        <f>concentration_risk!B3</f>
        <v>1473</v>
      </c>
      <c r="E3" s="25">
        <f>concentration_risk!C3</f>
        <v>20.91</v>
      </c>
      <c r="F3" s="38">
        <f>concentration_risk!D3</f>
        <v>95816.6</v>
      </c>
      <c r="G3" s="55">
        <f>concentration_risk!E3</f>
        <v>21.01</v>
      </c>
    </row>
    <row r="4" spans="1:8">
      <c r="A4" s="35" t="s">
        <v>72</v>
      </c>
      <c r="B4" s="35" t="s">
        <v>2</v>
      </c>
      <c r="C4" s="35" t="s">
        <v>5</v>
      </c>
      <c r="D4" s="48">
        <f>concentration_risk!B4</f>
        <v>1695</v>
      </c>
      <c r="E4" s="35">
        <f>concentration_risk!C4</f>
        <v>24.07</v>
      </c>
      <c r="F4" s="36">
        <f>concentration_risk!D4</f>
        <v>103005.85</v>
      </c>
      <c r="G4" s="54">
        <f>concentration_risk!E4</f>
        <v>22.58</v>
      </c>
    </row>
    <row r="6" spans="1:8">
      <c r="A6" s="31" t="s">
        <v>66</v>
      </c>
      <c r="B6" s="31" t="s">
        <v>99</v>
      </c>
      <c r="C6" s="31" t="s">
        <v>100</v>
      </c>
      <c r="D6" s="31" t="s">
        <v>35</v>
      </c>
      <c r="E6" s="31" t="s">
        <v>59</v>
      </c>
      <c r="F6" s="31" t="s">
        <v>55</v>
      </c>
      <c r="G6" s="31" t="s">
        <v>58</v>
      </c>
      <c r="H6" s="31" t="s">
        <v>34</v>
      </c>
    </row>
    <row r="7" spans="1:8">
      <c r="A7" s="22" t="s">
        <v>72</v>
      </c>
      <c r="B7" s="22" t="s">
        <v>40</v>
      </c>
      <c r="C7" s="22" t="s">
        <v>6</v>
      </c>
      <c r="D7" s="47">
        <f>internet_service_concentration!B2</f>
        <v>3096</v>
      </c>
      <c r="E7" s="22">
        <f>internet_service_concentration!C2</f>
        <v>43.96</v>
      </c>
      <c r="F7" s="37">
        <f>internet_service_concentration!D2</f>
        <v>283284.40000000002</v>
      </c>
      <c r="G7" s="22">
        <f>internet_service_concentration!E2</f>
        <v>62.11</v>
      </c>
      <c r="H7" s="50">
        <f>internet_service_concentration!G2</f>
        <v>41.89</v>
      </c>
    </row>
    <row r="8" spans="1:8">
      <c r="A8" s="24" t="s">
        <v>72</v>
      </c>
      <c r="B8" s="24" t="s">
        <v>40</v>
      </c>
      <c r="C8" s="24" t="s">
        <v>7</v>
      </c>
      <c r="D8" s="51">
        <f>internet_service_concentration!B3</f>
        <v>2421</v>
      </c>
      <c r="E8" s="24">
        <f>internet_service_concentration!C3</f>
        <v>34.369999999999997</v>
      </c>
      <c r="F8" s="52">
        <f>internet_service_concentration!D3</f>
        <v>140665.35</v>
      </c>
      <c r="G8" s="24">
        <f>internet_service_concentration!E3</f>
        <v>30.84</v>
      </c>
      <c r="H8" s="53">
        <f>internet_service_concentration!G3</f>
        <v>18.96</v>
      </c>
    </row>
    <row r="9" spans="1:8">
      <c r="A9" s="35" t="s">
        <v>72</v>
      </c>
      <c r="B9" s="35" t="s">
        <v>40</v>
      </c>
      <c r="C9" s="35" t="s">
        <v>103</v>
      </c>
      <c r="D9" s="48">
        <f>internet_service_concentration!B4</f>
        <v>1526</v>
      </c>
      <c r="E9" s="35">
        <f>internet_service_concentration!C4</f>
        <v>21.67</v>
      </c>
      <c r="F9" s="36">
        <f>internet_service_concentration!D4</f>
        <v>32166.85</v>
      </c>
      <c r="G9" s="35">
        <f>internet_service_concentration!E4</f>
        <v>7.05</v>
      </c>
      <c r="H9" s="54">
        <f>internet_service_concentration!G4</f>
        <v>7.4</v>
      </c>
    </row>
    <row r="11" spans="1:8">
      <c r="A11" s="31" t="s">
        <v>66</v>
      </c>
      <c r="B11" s="31" t="s">
        <v>60</v>
      </c>
      <c r="C11" s="31" t="s">
        <v>35</v>
      </c>
      <c r="D11" s="31" t="s">
        <v>36</v>
      </c>
      <c r="E11" s="31" t="s">
        <v>34</v>
      </c>
    </row>
    <row r="12" spans="1:8">
      <c r="A12" s="22" t="s">
        <v>72</v>
      </c>
      <c r="B12" s="22" t="s">
        <v>29</v>
      </c>
      <c r="C12" s="22">
        <f>high_risk_customers!B2</f>
        <v>6229</v>
      </c>
      <c r="D12" s="47">
        <f>high_risk_customers!C2</f>
        <v>1303</v>
      </c>
      <c r="E12" s="22">
        <f>high_risk_customers!D2</f>
        <v>20.92</v>
      </c>
    </row>
    <row r="13" spans="1:8">
      <c r="A13" s="35" t="s">
        <v>72</v>
      </c>
      <c r="B13" s="35" t="s">
        <v>104</v>
      </c>
      <c r="C13" s="35">
        <f>high_risk_customers!B3</f>
        <v>814</v>
      </c>
      <c r="D13" s="48">
        <f>high_risk_customers!C3</f>
        <v>566</v>
      </c>
      <c r="E13" s="35">
        <f>high_risk_customers!D3</f>
        <v>69.53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B9AD-3F64-2F4B-941F-C48AA7864345}">
  <dimension ref="A1:D2"/>
  <sheetViews>
    <sheetView workbookViewId="0">
      <selection activeCell="A2" sqref="A2"/>
    </sheetView>
  </sheetViews>
  <sheetFormatPr baseColWidth="10" defaultRowHeight="16"/>
  <cols>
    <col min="1" max="1" width="21.83203125" bestFit="1" customWidth="1"/>
    <col min="2" max="2" width="25.6640625" bestFit="1" customWidth="1"/>
    <col min="3" max="3" width="22.6640625" bestFit="1" customWidth="1"/>
    <col min="4" max="4" width="20.33203125" bestFit="1" customWidth="1"/>
  </cols>
  <sheetData>
    <row r="1" spans="1:4">
      <c r="A1" t="s">
        <v>37</v>
      </c>
      <c r="B1" t="s">
        <v>50</v>
      </c>
      <c r="C1" t="s">
        <v>51</v>
      </c>
      <c r="D1" t="s">
        <v>38</v>
      </c>
    </row>
    <row r="2" spans="1:4">
      <c r="A2" s="1">
        <v>139130.85</v>
      </c>
      <c r="B2" s="1">
        <v>316985.75</v>
      </c>
      <c r="C2" s="1">
        <v>456116.6</v>
      </c>
      <c r="D2" s="3">
        <v>30.5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D7EB-CFAF-544D-A8C5-75222AB3DE44}">
  <dimension ref="A1:E4"/>
  <sheetViews>
    <sheetView workbookViewId="0">
      <selection activeCell="C4" sqref="C4"/>
    </sheetView>
  </sheetViews>
  <sheetFormatPr baseColWidth="10" defaultRowHeight="16"/>
  <cols>
    <col min="1" max="1" width="14.5" bestFit="1" customWidth="1"/>
    <col min="2" max="2" width="14.83203125" bestFit="1" customWidth="1"/>
    <col min="3" max="3" width="15.33203125" bestFit="1" customWidth="1"/>
    <col min="4" max="4" width="26.5" bestFit="1" customWidth="1"/>
    <col min="5" max="5" width="20.6640625" bestFit="1" customWidth="1"/>
  </cols>
  <sheetData>
    <row r="1" spans="1:5">
      <c r="A1" t="s">
        <v>2</v>
      </c>
      <c r="B1" t="s">
        <v>35</v>
      </c>
      <c r="C1" t="s">
        <v>52</v>
      </c>
      <c r="D1" t="s">
        <v>53</v>
      </c>
      <c r="E1" t="s">
        <v>46</v>
      </c>
    </row>
    <row r="2" spans="1:5">
      <c r="A2" t="s">
        <v>5</v>
      </c>
      <c r="B2" s="2">
        <v>1685</v>
      </c>
      <c r="C2" s="1">
        <v>6283253.7000000002</v>
      </c>
      <c r="D2" s="1">
        <v>3728.93</v>
      </c>
      <c r="E2" s="1">
        <v>60.87</v>
      </c>
    </row>
    <row r="3" spans="1:5">
      <c r="A3" t="s">
        <v>3</v>
      </c>
      <c r="B3" s="2">
        <v>3875</v>
      </c>
      <c r="C3" s="1">
        <v>5305861.5</v>
      </c>
      <c r="D3" s="1">
        <v>1369.25</v>
      </c>
      <c r="E3" s="1">
        <v>66.400000000000006</v>
      </c>
    </row>
    <row r="4" spans="1:5">
      <c r="A4" t="s">
        <v>4</v>
      </c>
      <c r="B4" s="2">
        <v>1472</v>
      </c>
      <c r="C4" s="1">
        <v>4467053.5</v>
      </c>
      <c r="D4" s="1">
        <v>3034.68</v>
      </c>
      <c r="E4" s="1">
        <v>65.08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7117-7063-4040-9F7A-020EBF1ADAF8}">
  <dimension ref="A1:E4"/>
  <sheetViews>
    <sheetView workbookViewId="0">
      <selection activeCell="D6" sqref="D6"/>
    </sheetView>
  </sheetViews>
  <sheetFormatPr baseColWidth="10" defaultRowHeight="16"/>
  <cols>
    <col min="1" max="1" width="13.83203125" bestFit="1" customWidth="1"/>
    <col min="2" max="2" width="17.33203125" bestFit="1" customWidth="1"/>
    <col min="3" max="3" width="10.33203125" bestFit="1" customWidth="1"/>
    <col min="4" max="4" width="16" bestFit="1" customWidth="1"/>
    <col min="5" max="5" width="20.6640625" bestFit="1" customWidth="1"/>
  </cols>
  <sheetData>
    <row r="1" spans="1:5">
      <c r="A1" t="s">
        <v>54</v>
      </c>
      <c r="B1" t="s">
        <v>35</v>
      </c>
      <c r="C1" t="s">
        <v>36</v>
      </c>
      <c r="D1" t="s">
        <v>34</v>
      </c>
      <c r="E1" t="s">
        <v>46</v>
      </c>
    </row>
    <row r="2" spans="1:5">
      <c r="A2" t="s">
        <v>31</v>
      </c>
      <c r="B2" s="2">
        <v>3591</v>
      </c>
      <c r="C2" s="2">
        <v>1274</v>
      </c>
      <c r="D2">
        <v>35.479999999999997</v>
      </c>
      <c r="E2" s="1">
        <v>90.19</v>
      </c>
    </row>
    <row r="3" spans="1:5">
      <c r="A3" t="s">
        <v>32</v>
      </c>
      <c r="B3" s="2">
        <v>1721</v>
      </c>
      <c r="C3" s="2">
        <v>407</v>
      </c>
      <c r="D3">
        <v>23.65</v>
      </c>
      <c r="E3" s="1">
        <v>54.72</v>
      </c>
    </row>
    <row r="4" spans="1:5">
      <c r="A4" t="s">
        <v>33</v>
      </c>
      <c r="B4" s="2">
        <v>1731</v>
      </c>
      <c r="C4" s="2">
        <v>188</v>
      </c>
      <c r="D4">
        <v>10.86</v>
      </c>
      <c r="E4" s="1">
        <v>22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CC28-7EAA-1B42-A849-8BB832F72A14}">
  <dimension ref="A1:D74"/>
  <sheetViews>
    <sheetView topLeftCell="A55" workbookViewId="0">
      <selection activeCell="A2" sqref="A2"/>
    </sheetView>
  </sheetViews>
  <sheetFormatPr baseColWidth="10" defaultRowHeight="16"/>
  <cols>
    <col min="1" max="1" width="14.5" bestFit="1" customWidth="1"/>
    <col min="2" max="2" width="14.83203125" bestFit="1" customWidth="1"/>
    <col min="3" max="3" width="17.6640625" bestFit="1" customWidth="1"/>
    <col min="4" max="4" width="20.33203125" bestFit="1" customWidth="1"/>
  </cols>
  <sheetData>
    <row r="1" spans="1:4">
      <c r="A1" t="s">
        <v>57</v>
      </c>
      <c r="B1" t="s">
        <v>35</v>
      </c>
      <c r="C1" t="s">
        <v>55</v>
      </c>
      <c r="D1" t="s">
        <v>56</v>
      </c>
    </row>
    <row r="2" spans="1:4">
      <c r="A2">
        <v>0</v>
      </c>
      <c r="B2" s="2">
        <v>11</v>
      </c>
      <c r="C2" s="1">
        <v>455.6</v>
      </c>
      <c r="D2" s="1">
        <v>455.6</v>
      </c>
    </row>
    <row r="3" spans="1:4">
      <c r="A3">
        <v>1</v>
      </c>
      <c r="B3" s="2">
        <v>613</v>
      </c>
      <c r="C3" s="1">
        <v>30947.8</v>
      </c>
      <c r="D3" s="1">
        <v>31403.4</v>
      </c>
    </row>
    <row r="4" spans="1:4">
      <c r="A4">
        <v>2</v>
      </c>
      <c r="B4" s="2">
        <v>238</v>
      </c>
      <c r="C4" s="1">
        <v>13615.1</v>
      </c>
      <c r="D4" s="1">
        <v>45018.5</v>
      </c>
    </row>
    <row r="5" spans="1:4">
      <c r="A5">
        <v>3</v>
      </c>
      <c r="B5" s="2">
        <v>200</v>
      </c>
      <c r="C5" s="1">
        <v>11603</v>
      </c>
      <c r="D5" s="1">
        <v>56621.5</v>
      </c>
    </row>
    <row r="6" spans="1:4">
      <c r="A6">
        <v>4</v>
      </c>
      <c r="B6" s="2">
        <v>176</v>
      </c>
      <c r="C6" s="1">
        <v>10108.15</v>
      </c>
      <c r="D6" s="1">
        <v>66729.649999999994</v>
      </c>
    </row>
    <row r="7" spans="1:4">
      <c r="A7">
        <v>5</v>
      </c>
      <c r="B7" s="2">
        <v>133</v>
      </c>
      <c r="C7" s="1">
        <v>8113.5</v>
      </c>
      <c r="D7" s="1">
        <v>74843.149999999994</v>
      </c>
    </row>
    <row r="8" spans="1:4">
      <c r="A8">
        <v>6</v>
      </c>
      <c r="B8" s="2">
        <v>110</v>
      </c>
      <c r="C8" s="1">
        <v>6224.8</v>
      </c>
      <c r="D8" s="1">
        <v>81067.95</v>
      </c>
    </row>
    <row r="9" spans="1:4">
      <c r="A9">
        <v>7</v>
      </c>
      <c r="B9" s="2">
        <v>131</v>
      </c>
      <c r="C9" s="1">
        <v>7813.15</v>
      </c>
      <c r="D9" s="1">
        <v>88881.1</v>
      </c>
    </row>
    <row r="10" spans="1:4">
      <c r="A10">
        <v>8</v>
      </c>
      <c r="B10" s="2">
        <v>123</v>
      </c>
      <c r="C10" s="1">
        <v>7041.15</v>
      </c>
      <c r="D10" s="1">
        <v>95922.25</v>
      </c>
    </row>
    <row r="11" spans="1:4">
      <c r="A11">
        <v>9</v>
      </c>
      <c r="B11" s="2">
        <v>119</v>
      </c>
      <c r="C11" s="1">
        <v>7445.2</v>
      </c>
      <c r="D11" s="1">
        <v>103367.45</v>
      </c>
    </row>
    <row r="12" spans="1:4">
      <c r="A12">
        <v>10</v>
      </c>
      <c r="B12" s="2">
        <v>116</v>
      </c>
      <c r="C12" s="1">
        <v>6823.65</v>
      </c>
      <c r="D12" s="1">
        <v>110191.1</v>
      </c>
    </row>
    <row r="13" spans="1:4">
      <c r="A13">
        <v>11</v>
      </c>
      <c r="B13" s="2">
        <v>99</v>
      </c>
      <c r="C13" s="1">
        <v>5788.8</v>
      </c>
      <c r="D13" s="1">
        <v>115979.9</v>
      </c>
    </row>
    <row r="14" spans="1:4">
      <c r="A14">
        <v>12</v>
      </c>
      <c r="B14" s="2">
        <v>117</v>
      </c>
      <c r="C14" s="1">
        <v>6649.85</v>
      </c>
      <c r="D14" s="1">
        <v>122629.75</v>
      </c>
    </row>
    <row r="15" spans="1:4">
      <c r="A15">
        <v>13</v>
      </c>
      <c r="B15" s="2">
        <v>109</v>
      </c>
      <c r="C15" s="1">
        <v>6547.7</v>
      </c>
      <c r="D15" s="1">
        <v>129177.45</v>
      </c>
    </row>
    <row r="16" spans="1:4">
      <c r="A16">
        <v>14</v>
      </c>
      <c r="B16" s="2">
        <v>76</v>
      </c>
      <c r="C16" s="1">
        <v>4762.6000000000004</v>
      </c>
      <c r="D16" s="1">
        <v>133940.04999999999</v>
      </c>
    </row>
    <row r="17" spans="1:4">
      <c r="A17">
        <v>15</v>
      </c>
      <c r="B17" s="2">
        <v>99</v>
      </c>
      <c r="C17" s="1">
        <v>5998.65</v>
      </c>
      <c r="D17" s="1">
        <v>139938.70000000001</v>
      </c>
    </row>
    <row r="18" spans="1:4">
      <c r="A18">
        <v>16</v>
      </c>
      <c r="B18" s="2">
        <v>80</v>
      </c>
      <c r="C18" s="1">
        <v>5003.6499999999996</v>
      </c>
      <c r="D18" s="1">
        <v>144942.35</v>
      </c>
    </row>
    <row r="19" spans="1:4">
      <c r="A19">
        <v>17</v>
      </c>
      <c r="B19" s="2">
        <v>87</v>
      </c>
      <c r="C19" s="1">
        <v>5451</v>
      </c>
      <c r="D19" s="1">
        <v>150393.35</v>
      </c>
    </row>
    <row r="20" spans="1:4">
      <c r="A20">
        <v>18</v>
      </c>
      <c r="B20" s="2">
        <v>97</v>
      </c>
      <c r="C20" s="1">
        <v>5793.8</v>
      </c>
      <c r="D20" s="1">
        <v>156187.15</v>
      </c>
    </row>
    <row r="21" spans="1:4">
      <c r="A21">
        <v>19</v>
      </c>
      <c r="B21" s="2">
        <v>73</v>
      </c>
      <c r="C21" s="1">
        <v>4224.5</v>
      </c>
      <c r="D21" s="1">
        <v>160411.65</v>
      </c>
    </row>
    <row r="22" spans="1:4">
      <c r="A22">
        <v>20</v>
      </c>
      <c r="B22" s="2">
        <v>71</v>
      </c>
      <c r="C22" s="1">
        <v>4310.6499999999996</v>
      </c>
      <c r="D22" s="1">
        <v>164722.29999999999</v>
      </c>
    </row>
    <row r="23" spans="1:4">
      <c r="A23">
        <v>21</v>
      </c>
      <c r="B23" s="2">
        <v>63</v>
      </c>
      <c r="C23" s="1">
        <v>4163.6000000000004</v>
      </c>
      <c r="D23" s="1">
        <v>168885.9</v>
      </c>
    </row>
    <row r="24" spans="1:4">
      <c r="A24">
        <v>22</v>
      </c>
      <c r="B24" s="2">
        <v>90</v>
      </c>
      <c r="C24" s="1">
        <v>5574.6</v>
      </c>
      <c r="D24" s="1">
        <v>174460.5</v>
      </c>
    </row>
    <row r="25" spans="1:4">
      <c r="A25">
        <v>23</v>
      </c>
      <c r="B25" s="2">
        <v>85</v>
      </c>
      <c r="C25" s="1">
        <v>5232.8</v>
      </c>
      <c r="D25" s="1">
        <v>179693.3</v>
      </c>
    </row>
    <row r="26" spans="1:4">
      <c r="A26">
        <v>24</v>
      </c>
      <c r="B26" s="2">
        <v>94</v>
      </c>
      <c r="C26" s="1">
        <v>5766.3</v>
      </c>
      <c r="D26" s="1">
        <v>185459.6</v>
      </c>
    </row>
    <row r="27" spans="1:4">
      <c r="A27">
        <v>25</v>
      </c>
      <c r="B27" s="2">
        <v>79</v>
      </c>
      <c r="C27" s="1">
        <v>4712.2</v>
      </c>
      <c r="D27" s="1">
        <v>190171.8</v>
      </c>
    </row>
    <row r="28" spans="1:4">
      <c r="A28">
        <v>26</v>
      </c>
      <c r="B28" s="2">
        <v>79</v>
      </c>
      <c r="C28" s="1">
        <v>5107.3999999999996</v>
      </c>
      <c r="D28" s="1">
        <v>195279.2</v>
      </c>
    </row>
    <row r="29" spans="1:4">
      <c r="A29">
        <v>27</v>
      </c>
      <c r="B29" s="2">
        <v>72</v>
      </c>
      <c r="C29" s="1">
        <v>4427.05</v>
      </c>
      <c r="D29" s="1">
        <v>199706.25</v>
      </c>
    </row>
    <row r="30" spans="1:4">
      <c r="A30">
        <v>28</v>
      </c>
      <c r="B30" s="2">
        <v>57</v>
      </c>
      <c r="C30" s="1">
        <v>3856.7</v>
      </c>
      <c r="D30" s="1">
        <v>203562.95</v>
      </c>
    </row>
    <row r="31" spans="1:4">
      <c r="A31">
        <v>29</v>
      </c>
      <c r="B31" s="2">
        <v>72</v>
      </c>
      <c r="C31" s="1">
        <v>4391.8500000000004</v>
      </c>
      <c r="D31" s="1">
        <v>207954.8</v>
      </c>
    </row>
    <row r="32" spans="1:4">
      <c r="A32">
        <v>30</v>
      </c>
      <c r="B32" s="2">
        <v>72</v>
      </c>
      <c r="C32" s="1">
        <v>5058.5</v>
      </c>
      <c r="D32" s="1">
        <v>213013.3</v>
      </c>
    </row>
    <row r="33" spans="1:4">
      <c r="A33">
        <v>31</v>
      </c>
      <c r="B33" s="2">
        <v>65</v>
      </c>
      <c r="C33" s="1">
        <v>4589.05</v>
      </c>
      <c r="D33" s="1">
        <v>217602.35</v>
      </c>
    </row>
    <row r="34" spans="1:4">
      <c r="A34">
        <v>32</v>
      </c>
      <c r="B34" s="2">
        <v>69</v>
      </c>
      <c r="C34" s="1">
        <v>4914.25</v>
      </c>
      <c r="D34" s="1">
        <v>222516.6</v>
      </c>
    </row>
    <row r="35" spans="1:4">
      <c r="A35">
        <v>33</v>
      </c>
      <c r="B35" s="2">
        <v>64</v>
      </c>
      <c r="C35" s="1">
        <v>4252.8999999999996</v>
      </c>
      <c r="D35" s="1">
        <v>226769.5</v>
      </c>
    </row>
    <row r="36" spans="1:4">
      <c r="A36">
        <v>34</v>
      </c>
      <c r="B36" s="2">
        <v>65</v>
      </c>
      <c r="C36" s="1">
        <v>4526.8999999999996</v>
      </c>
      <c r="D36" s="1">
        <v>231296.4</v>
      </c>
    </row>
    <row r="37" spans="1:4">
      <c r="A37">
        <v>35</v>
      </c>
      <c r="B37" s="2">
        <v>88</v>
      </c>
      <c r="C37" s="1">
        <v>5448.9</v>
      </c>
      <c r="D37" s="1">
        <v>236745.3</v>
      </c>
    </row>
    <row r="38" spans="1:4">
      <c r="A38">
        <v>36</v>
      </c>
      <c r="B38" s="2">
        <v>50</v>
      </c>
      <c r="C38" s="1">
        <v>3273.1</v>
      </c>
      <c r="D38" s="1">
        <v>240018.4</v>
      </c>
    </row>
    <row r="39" spans="1:4">
      <c r="A39">
        <v>37</v>
      </c>
      <c r="B39" s="2">
        <v>65</v>
      </c>
      <c r="C39" s="1">
        <v>4218.5</v>
      </c>
      <c r="D39" s="1">
        <v>244236.9</v>
      </c>
    </row>
    <row r="40" spans="1:4">
      <c r="A40">
        <v>38</v>
      </c>
      <c r="B40" s="2">
        <v>59</v>
      </c>
      <c r="C40" s="1">
        <v>3873</v>
      </c>
      <c r="D40" s="1">
        <v>248109.9</v>
      </c>
    </row>
    <row r="41" spans="1:4">
      <c r="A41">
        <v>39</v>
      </c>
      <c r="B41" s="2">
        <v>56</v>
      </c>
      <c r="C41" s="1">
        <v>3396.75</v>
      </c>
      <c r="D41" s="1">
        <v>251506.65</v>
      </c>
    </row>
    <row r="42" spans="1:4">
      <c r="A42">
        <v>40</v>
      </c>
      <c r="B42" s="2">
        <v>64</v>
      </c>
      <c r="C42" s="1">
        <v>4261.3999999999996</v>
      </c>
      <c r="D42" s="1">
        <v>255768.05</v>
      </c>
    </row>
    <row r="43" spans="1:4">
      <c r="A43">
        <v>41</v>
      </c>
      <c r="B43" s="2">
        <v>70</v>
      </c>
      <c r="C43" s="1">
        <v>4853.8</v>
      </c>
      <c r="D43" s="1">
        <v>260621.85</v>
      </c>
    </row>
    <row r="44" spans="1:4">
      <c r="A44">
        <v>42</v>
      </c>
      <c r="B44" s="2">
        <v>65</v>
      </c>
      <c r="C44" s="1">
        <v>4262.8</v>
      </c>
      <c r="D44" s="1">
        <v>264884.65000000002</v>
      </c>
    </row>
    <row r="45" spans="1:4">
      <c r="A45">
        <v>43</v>
      </c>
      <c r="B45" s="2">
        <v>65</v>
      </c>
      <c r="C45" s="1">
        <v>4625.55</v>
      </c>
      <c r="D45" s="1">
        <v>269510.2</v>
      </c>
    </row>
    <row r="46" spans="1:4">
      <c r="A46">
        <v>44</v>
      </c>
      <c r="B46" s="2">
        <v>51</v>
      </c>
      <c r="C46" s="1">
        <v>3262.65</v>
      </c>
      <c r="D46" s="1">
        <v>272772.84999999998</v>
      </c>
    </row>
    <row r="47" spans="1:4">
      <c r="A47">
        <v>45</v>
      </c>
      <c r="B47" s="2">
        <v>61</v>
      </c>
      <c r="C47" s="1">
        <v>4346</v>
      </c>
      <c r="D47" s="1">
        <v>277118.84999999998</v>
      </c>
    </row>
    <row r="48" spans="1:4">
      <c r="A48">
        <v>46</v>
      </c>
      <c r="B48" s="2">
        <v>74</v>
      </c>
      <c r="C48" s="1">
        <v>4709.3500000000004</v>
      </c>
      <c r="D48" s="1">
        <v>281828.2</v>
      </c>
    </row>
    <row r="49" spans="1:4">
      <c r="A49">
        <v>47</v>
      </c>
      <c r="B49" s="2">
        <v>68</v>
      </c>
      <c r="C49" s="1">
        <v>4607.2</v>
      </c>
      <c r="D49" s="1">
        <v>286435.40000000002</v>
      </c>
    </row>
    <row r="50" spans="1:4">
      <c r="A50">
        <v>48</v>
      </c>
      <c r="B50" s="2">
        <v>64</v>
      </c>
      <c r="C50" s="1">
        <v>4117.5</v>
      </c>
      <c r="D50" s="1">
        <v>290552.90000000002</v>
      </c>
    </row>
    <row r="51" spans="1:4">
      <c r="A51">
        <v>49</v>
      </c>
      <c r="B51" s="2">
        <v>66</v>
      </c>
      <c r="C51" s="1">
        <v>4817.8999999999996</v>
      </c>
      <c r="D51" s="1">
        <v>295370.8</v>
      </c>
    </row>
    <row r="52" spans="1:4">
      <c r="A52">
        <v>50</v>
      </c>
      <c r="B52" s="2">
        <v>68</v>
      </c>
      <c r="C52" s="1">
        <v>4861.1499999999996</v>
      </c>
      <c r="D52" s="1">
        <v>300231.95</v>
      </c>
    </row>
    <row r="53" spans="1:4">
      <c r="A53">
        <v>51</v>
      </c>
      <c r="B53" s="2">
        <v>68</v>
      </c>
      <c r="C53" s="1">
        <v>4548</v>
      </c>
      <c r="D53" s="1">
        <v>304779.95</v>
      </c>
    </row>
    <row r="54" spans="1:4">
      <c r="A54">
        <v>52</v>
      </c>
      <c r="B54" s="2">
        <v>80</v>
      </c>
      <c r="C54" s="1">
        <v>5375.3</v>
      </c>
      <c r="D54" s="1">
        <v>310155.25</v>
      </c>
    </row>
    <row r="55" spans="1:4">
      <c r="A55">
        <v>53</v>
      </c>
      <c r="B55" s="2">
        <v>70</v>
      </c>
      <c r="C55" s="1">
        <v>4790</v>
      </c>
      <c r="D55" s="1">
        <v>314945.25</v>
      </c>
    </row>
    <row r="56" spans="1:4">
      <c r="A56">
        <v>54</v>
      </c>
      <c r="B56" s="2">
        <v>68</v>
      </c>
      <c r="C56" s="1">
        <v>5024.1499999999996</v>
      </c>
      <c r="D56" s="1">
        <v>319969.40000000002</v>
      </c>
    </row>
    <row r="57" spans="1:4">
      <c r="A57">
        <v>55</v>
      </c>
      <c r="B57" s="2">
        <v>64</v>
      </c>
      <c r="C57" s="1">
        <v>4341.1000000000004</v>
      </c>
      <c r="D57" s="1">
        <v>324310.5</v>
      </c>
    </row>
    <row r="58" spans="1:4">
      <c r="A58">
        <v>56</v>
      </c>
      <c r="B58" s="2">
        <v>80</v>
      </c>
      <c r="C58" s="1">
        <v>5972.4</v>
      </c>
      <c r="D58" s="1">
        <v>330282.90000000002</v>
      </c>
    </row>
    <row r="59" spans="1:4">
      <c r="A59">
        <v>57</v>
      </c>
      <c r="B59" s="2">
        <v>65</v>
      </c>
      <c r="C59" s="1">
        <v>4408.3500000000004</v>
      </c>
      <c r="D59" s="1">
        <v>334691.25</v>
      </c>
    </row>
    <row r="60" spans="1:4">
      <c r="A60">
        <v>58</v>
      </c>
      <c r="B60" s="2">
        <v>67</v>
      </c>
      <c r="C60" s="1">
        <v>4667.1000000000004</v>
      </c>
      <c r="D60" s="1">
        <v>339358.35</v>
      </c>
    </row>
    <row r="61" spans="1:4">
      <c r="A61">
        <v>59</v>
      </c>
      <c r="B61" s="2">
        <v>60</v>
      </c>
      <c r="C61" s="1">
        <v>4259.8500000000004</v>
      </c>
      <c r="D61" s="1">
        <v>343618.2</v>
      </c>
    </row>
    <row r="62" spans="1:4">
      <c r="A62">
        <v>60</v>
      </c>
      <c r="B62" s="2">
        <v>76</v>
      </c>
      <c r="C62" s="1">
        <v>5632.95</v>
      </c>
      <c r="D62" s="1">
        <v>349251.15</v>
      </c>
    </row>
    <row r="63" spans="1:4">
      <c r="A63">
        <v>61</v>
      </c>
      <c r="B63" s="2">
        <v>76</v>
      </c>
      <c r="C63" s="1">
        <v>5662.1</v>
      </c>
      <c r="D63" s="1">
        <v>354913.25</v>
      </c>
    </row>
    <row r="64" spans="1:4">
      <c r="A64">
        <v>62</v>
      </c>
      <c r="B64" s="2">
        <v>70</v>
      </c>
      <c r="C64" s="1">
        <v>4951.45</v>
      </c>
      <c r="D64" s="1">
        <v>359864.7</v>
      </c>
    </row>
    <row r="65" spans="1:4">
      <c r="A65">
        <v>63</v>
      </c>
      <c r="B65" s="2">
        <v>72</v>
      </c>
      <c r="C65" s="1">
        <v>5320.65</v>
      </c>
      <c r="D65" s="1">
        <v>365185.35</v>
      </c>
    </row>
    <row r="66" spans="1:4">
      <c r="A66">
        <v>64</v>
      </c>
      <c r="B66" s="2">
        <v>80</v>
      </c>
      <c r="C66" s="1">
        <v>6062.45</v>
      </c>
      <c r="D66" s="1">
        <v>371247.8</v>
      </c>
    </row>
    <row r="67" spans="1:4">
      <c r="A67">
        <v>65</v>
      </c>
      <c r="B67" s="2">
        <v>76</v>
      </c>
      <c r="C67" s="1">
        <v>6114.05</v>
      </c>
      <c r="D67" s="1">
        <v>377361.85</v>
      </c>
    </row>
    <row r="68" spans="1:4">
      <c r="A68">
        <v>66</v>
      </c>
      <c r="B68" s="2">
        <v>89</v>
      </c>
      <c r="C68" s="1">
        <v>6769.65</v>
      </c>
      <c r="D68" s="1">
        <v>384131.5</v>
      </c>
    </row>
    <row r="69" spans="1:4">
      <c r="A69">
        <v>67</v>
      </c>
      <c r="B69" s="2">
        <v>98</v>
      </c>
      <c r="C69" s="1">
        <v>7088.75</v>
      </c>
      <c r="D69" s="1">
        <v>391220.25</v>
      </c>
    </row>
    <row r="70" spans="1:4">
      <c r="A70">
        <v>68</v>
      </c>
      <c r="B70" s="2">
        <v>100</v>
      </c>
      <c r="C70" s="1">
        <v>7332.1</v>
      </c>
      <c r="D70" s="1">
        <v>398552.35</v>
      </c>
    </row>
    <row r="71" spans="1:4">
      <c r="A71">
        <v>69</v>
      </c>
      <c r="B71" s="2">
        <v>95</v>
      </c>
      <c r="C71" s="1">
        <v>6728.2</v>
      </c>
      <c r="D71" s="1">
        <v>405280.55</v>
      </c>
    </row>
    <row r="72" spans="1:4">
      <c r="A72">
        <v>70</v>
      </c>
      <c r="B72" s="2">
        <v>119</v>
      </c>
      <c r="C72" s="1">
        <v>9089.1</v>
      </c>
      <c r="D72" s="1">
        <v>414369.65</v>
      </c>
    </row>
    <row r="73" spans="1:4">
      <c r="A73">
        <v>71</v>
      </c>
      <c r="B73" s="2">
        <v>170</v>
      </c>
      <c r="C73" s="1">
        <v>12535.05</v>
      </c>
      <c r="D73" s="1">
        <v>426904.7</v>
      </c>
    </row>
    <row r="74" spans="1:4">
      <c r="A74">
        <v>72</v>
      </c>
      <c r="B74" s="2">
        <v>362</v>
      </c>
      <c r="C74" s="1">
        <v>29211.9</v>
      </c>
      <c r="D74" s="1">
        <v>456116.6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6928-8836-2D4D-9367-8BABA51C31D4}">
  <dimension ref="A1:E7"/>
  <sheetViews>
    <sheetView workbookViewId="0">
      <selection activeCell="E2" sqref="E2"/>
    </sheetView>
  </sheetViews>
  <sheetFormatPr baseColWidth="10" defaultRowHeight="16"/>
  <cols>
    <col min="1" max="1" width="14.5" bestFit="1" customWidth="1"/>
    <col min="2" max="2" width="11.83203125" bestFit="1" customWidth="1"/>
    <col min="3" max="3" width="18" bestFit="1" customWidth="1"/>
    <col min="4" max="4" width="20.1640625" bestFit="1" customWidth="1"/>
    <col min="5" max="5" width="15.5" bestFit="1" customWidth="1"/>
  </cols>
  <sheetData>
    <row r="1" spans="1:5">
      <c r="A1" t="s">
        <v>2</v>
      </c>
      <c r="B1" t="s">
        <v>42</v>
      </c>
      <c r="C1" t="s">
        <v>43</v>
      </c>
      <c r="D1" t="s">
        <v>46</v>
      </c>
      <c r="E1" t="s">
        <v>61</v>
      </c>
    </row>
    <row r="2" spans="1:5">
      <c r="A2" t="s">
        <v>5</v>
      </c>
      <c r="B2" t="s">
        <v>1</v>
      </c>
      <c r="C2" s="3">
        <v>61.3</v>
      </c>
      <c r="D2" s="1">
        <v>86.78</v>
      </c>
      <c r="E2" s="1">
        <v>5316.9</v>
      </c>
    </row>
    <row r="3" spans="1:5">
      <c r="A3" t="s">
        <v>4</v>
      </c>
      <c r="B3" t="s">
        <v>1</v>
      </c>
      <c r="C3" s="3">
        <v>45</v>
      </c>
      <c r="D3" s="1">
        <v>85.05</v>
      </c>
      <c r="E3" s="1">
        <v>3824.22</v>
      </c>
    </row>
    <row r="4" spans="1:5">
      <c r="A4" t="s">
        <v>5</v>
      </c>
      <c r="B4" t="s">
        <v>0</v>
      </c>
      <c r="C4" s="3">
        <v>56.6</v>
      </c>
      <c r="D4" s="1">
        <v>60.01</v>
      </c>
      <c r="E4" s="1">
        <v>3396.88</v>
      </c>
    </row>
    <row r="5" spans="1:5">
      <c r="A5" t="s">
        <v>4</v>
      </c>
      <c r="B5" t="s">
        <v>0</v>
      </c>
      <c r="C5" s="3">
        <v>41.7</v>
      </c>
      <c r="D5" s="1">
        <v>62.51</v>
      </c>
      <c r="E5" s="1">
        <v>2604.9699999999998</v>
      </c>
    </row>
    <row r="6" spans="1:5">
      <c r="A6" t="s">
        <v>3</v>
      </c>
      <c r="B6" t="s">
        <v>0</v>
      </c>
      <c r="C6" s="3">
        <v>21</v>
      </c>
      <c r="D6" s="1">
        <v>61.46</v>
      </c>
      <c r="E6" s="1">
        <v>1292.76</v>
      </c>
    </row>
    <row r="7" spans="1:5">
      <c r="A7" t="s">
        <v>3</v>
      </c>
      <c r="B7" t="s">
        <v>1</v>
      </c>
      <c r="C7" s="3">
        <v>14</v>
      </c>
      <c r="D7" s="1">
        <v>73.02</v>
      </c>
      <c r="E7" s="1">
        <v>1023.51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356E-5009-F744-AF04-4A116B82396B}">
  <dimension ref="A1:G24"/>
  <sheetViews>
    <sheetView topLeftCell="A4" workbookViewId="0">
      <selection activeCell="D9" sqref="D9"/>
    </sheetView>
  </sheetViews>
  <sheetFormatPr baseColWidth="10" defaultRowHeight="16"/>
  <cols>
    <col min="1" max="1" width="29.33203125" bestFit="1" customWidth="1"/>
    <col min="2" max="2" width="14.83203125" customWidth="1"/>
    <col min="3" max="3" width="14.5" bestFit="1" customWidth="1"/>
    <col min="4" max="4" width="20.1640625" customWidth="1"/>
    <col min="5" max="5" width="28.1640625" customWidth="1"/>
    <col min="6" max="7" width="22.33203125" customWidth="1"/>
  </cols>
  <sheetData>
    <row r="1" spans="1:7">
      <c r="A1" s="58" t="s">
        <v>105</v>
      </c>
      <c r="B1" s="58"/>
    </row>
    <row r="2" spans="1:7">
      <c r="A2" t="s">
        <v>37</v>
      </c>
      <c r="B2" s="1">
        <f>revenue_at_risk!A2</f>
        <v>139130.85</v>
      </c>
      <c r="D2" t="s">
        <v>108</v>
      </c>
      <c r="E2" t="s">
        <v>109</v>
      </c>
    </row>
    <row r="3" spans="1:7">
      <c r="A3" s="27" t="s">
        <v>50</v>
      </c>
      <c r="B3" s="28">
        <f>revenue_at_risk!B2</f>
        <v>316985.75</v>
      </c>
      <c r="D3">
        <v>316985.75</v>
      </c>
      <c r="E3">
        <v>139130.85</v>
      </c>
    </row>
    <row r="4" spans="1:7">
      <c r="A4" t="s">
        <v>51</v>
      </c>
      <c r="B4" s="1">
        <f>revenue_at_risk!C2</f>
        <v>456116.6</v>
      </c>
    </row>
    <row r="5" spans="1:7">
      <c r="A5" s="27" t="s">
        <v>111</v>
      </c>
      <c r="B5" s="29">
        <f>revenue_at_risk!D2</f>
        <v>30.5</v>
      </c>
    </row>
    <row r="6" spans="1:7">
      <c r="A6" s="27" t="s">
        <v>106</v>
      </c>
      <c r="B6" s="30">
        <f>revenue_at_risk!A2*12</f>
        <v>1669570.2000000002</v>
      </c>
    </row>
    <row r="8" spans="1:7">
      <c r="A8" s="31" t="s">
        <v>66</v>
      </c>
      <c r="B8" s="31" t="s">
        <v>99</v>
      </c>
      <c r="C8" s="31" t="s">
        <v>100</v>
      </c>
      <c r="D8" s="31" t="s">
        <v>52</v>
      </c>
      <c r="E8" s="31" t="s">
        <v>53</v>
      </c>
      <c r="F8" s="31" t="s">
        <v>46</v>
      </c>
    </row>
    <row r="9" spans="1:7">
      <c r="A9" s="35" t="s">
        <v>71</v>
      </c>
      <c r="B9" s="35" t="s">
        <v>2</v>
      </c>
      <c r="C9" s="35" t="s">
        <v>5</v>
      </c>
      <c r="D9" s="36">
        <f>revenue_by_contract!C2</f>
        <v>6283253.7000000002</v>
      </c>
      <c r="E9" s="36">
        <f>revenue_by_contract!D2</f>
        <v>3728.93</v>
      </c>
      <c r="F9" s="36">
        <f>revenue_by_contract!E2</f>
        <v>60.87</v>
      </c>
    </row>
    <row r="10" spans="1:7">
      <c r="A10" s="25" t="s">
        <v>71</v>
      </c>
      <c r="B10" s="25" t="s">
        <v>2</v>
      </c>
      <c r="C10" s="25" t="s">
        <v>4</v>
      </c>
      <c r="D10" s="38">
        <f>revenue_by_contract!C4</f>
        <v>4467053.5</v>
      </c>
      <c r="E10" s="38">
        <f>revenue_by_contract!D4</f>
        <v>3034.68</v>
      </c>
      <c r="F10" s="38">
        <f>revenue_by_contract!E4</f>
        <v>65.08</v>
      </c>
    </row>
    <row r="11" spans="1:7">
      <c r="A11" s="22" t="s">
        <v>71</v>
      </c>
      <c r="B11" s="22" t="s">
        <v>2</v>
      </c>
      <c r="C11" s="22" t="s">
        <v>3</v>
      </c>
      <c r="D11" s="37">
        <f>revenue_by_contract!C3</f>
        <v>5305861.5</v>
      </c>
      <c r="E11" s="37">
        <f>revenue_by_contract!D3</f>
        <v>1369.25</v>
      </c>
      <c r="F11" s="37">
        <f>revenue_by_contract!E3</f>
        <v>66.400000000000006</v>
      </c>
    </row>
    <row r="13" spans="1:7">
      <c r="A13" s="31" t="s">
        <v>66</v>
      </c>
      <c r="B13" s="31" t="s">
        <v>99</v>
      </c>
      <c r="C13" s="31" t="s">
        <v>54</v>
      </c>
      <c r="D13" s="31" t="s">
        <v>35</v>
      </c>
      <c r="E13" s="31" t="s">
        <v>36</v>
      </c>
      <c r="F13" s="31" t="s">
        <v>34</v>
      </c>
      <c r="G13" s="31" t="s">
        <v>46</v>
      </c>
    </row>
    <row r="14" spans="1:7">
      <c r="A14" s="21" t="s">
        <v>71</v>
      </c>
      <c r="B14" s="21" t="s">
        <v>54</v>
      </c>
      <c r="C14" s="21" t="s">
        <v>31</v>
      </c>
      <c r="D14" s="39">
        <f>revenue_tiers!B2</f>
        <v>3591</v>
      </c>
      <c r="E14" s="39">
        <f>revenue_tiers!C2</f>
        <v>1274</v>
      </c>
      <c r="F14" s="40">
        <f>revenue_tiers!D2</f>
        <v>35.479999999999997</v>
      </c>
      <c r="G14" s="40">
        <f>revenue_tiers!E2</f>
        <v>90.19</v>
      </c>
    </row>
    <row r="15" spans="1:7">
      <c r="A15" s="23" t="s">
        <v>71</v>
      </c>
      <c r="B15" s="23" t="s">
        <v>54</v>
      </c>
      <c r="C15" s="23" t="s">
        <v>32</v>
      </c>
      <c r="D15" s="41">
        <f>revenue_tiers!B3</f>
        <v>1721</v>
      </c>
      <c r="E15" s="41">
        <f>revenue_tiers!C3</f>
        <v>407</v>
      </c>
      <c r="F15" s="42">
        <f>revenue_tiers!D3</f>
        <v>23.65</v>
      </c>
      <c r="G15" s="42">
        <f>revenue_tiers!E3</f>
        <v>54.72</v>
      </c>
    </row>
    <row r="16" spans="1:7">
      <c r="A16" s="32" t="s">
        <v>71</v>
      </c>
      <c r="B16" s="32" t="s">
        <v>54</v>
      </c>
      <c r="C16" s="32" t="s">
        <v>33</v>
      </c>
      <c r="D16" s="43">
        <f>revenue_tiers!B4</f>
        <v>1731</v>
      </c>
      <c r="E16" s="43">
        <f>revenue_tiers!C4</f>
        <v>188</v>
      </c>
      <c r="F16" s="44">
        <f>revenue_tiers!D4</f>
        <v>10.86</v>
      </c>
      <c r="G16" s="44">
        <f>revenue_tiers!E4</f>
        <v>22</v>
      </c>
    </row>
    <row r="18" spans="1:6">
      <c r="A18" s="31" t="s">
        <v>66</v>
      </c>
      <c r="B18" s="31" t="s">
        <v>2</v>
      </c>
      <c r="C18" s="31" t="s">
        <v>42</v>
      </c>
      <c r="D18" s="31" t="s">
        <v>43</v>
      </c>
      <c r="E18" s="31" t="s">
        <v>46</v>
      </c>
      <c r="F18" s="31" t="s">
        <v>61</v>
      </c>
    </row>
    <row r="19" spans="1:6">
      <c r="A19" s="21" t="s">
        <v>71</v>
      </c>
      <c r="B19" s="21" t="s">
        <v>5</v>
      </c>
      <c r="C19" s="21" t="s">
        <v>1</v>
      </c>
      <c r="D19" s="45">
        <f>estimated_ltv!C2</f>
        <v>61.3</v>
      </c>
      <c r="E19" s="34">
        <f>estimated_ltv!D2</f>
        <v>86.78</v>
      </c>
      <c r="F19" s="34">
        <f>estimated_ltv!E2</f>
        <v>5316.9</v>
      </c>
    </row>
    <row r="20" spans="1:6">
      <c r="A20" s="21" t="s">
        <v>71</v>
      </c>
      <c r="B20" s="21" t="s">
        <v>4</v>
      </c>
      <c r="C20" s="21" t="s">
        <v>1</v>
      </c>
      <c r="D20" s="45">
        <f>estimated_ltv!C3</f>
        <v>45</v>
      </c>
      <c r="E20" s="34">
        <f>estimated_ltv!D3</f>
        <v>85.05</v>
      </c>
      <c r="F20" s="34">
        <f>estimated_ltv!E3</f>
        <v>3824.22</v>
      </c>
    </row>
    <row r="21" spans="1:6">
      <c r="A21" s="32" t="s">
        <v>71</v>
      </c>
      <c r="B21" s="32" t="s">
        <v>5</v>
      </c>
      <c r="C21" s="32" t="s">
        <v>0</v>
      </c>
      <c r="D21" s="46">
        <f>estimated_ltv!C4</f>
        <v>56.6</v>
      </c>
      <c r="E21" s="33">
        <f>estimated_ltv!D4</f>
        <v>60.01</v>
      </c>
      <c r="F21" s="33">
        <f>estimated_ltv!E4</f>
        <v>3396.88</v>
      </c>
    </row>
    <row r="22" spans="1:6">
      <c r="A22" s="32" t="s">
        <v>71</v>
      </c>
      <c r="B22" s="32" t="s">
        <v>4</v>
      </c>
      <c r="C22" s="32" t="s">
        <v>0</v>
      </c>
      <c r="D22" s="46">
        <f>estimated_ltv!C5</f>
        <v>41.7</v>
      </c>
      <c r="E22" s="33">
        <f>estimated_ltv!D5</f>
        <v>62.51</v>
      </c>
      <c r="F22" s="33">
        <f>estimated_ltv!E5</f>
        <v>2604.9699999999998</v>
      </c>
    </row>
    <row r="23" spans="1:6">
      <c r="A23" s="32" t="s">
        <v>71</v>
      </c>
      <c r="B23" s="32" t="s">
        <v>3</v>
      </c>
      <c r="C23" s="32" t="s">
        <v>0</v>
      </c>
      <c r="D23" s="46">
        <f>estimated_ltv!C6</f>
        <v>21</v>
      </c>
      <c r="E23" s="33">
        <f>estimated_ltv!D6</f>
        <v>61.46</v>
      </c>
      <c r="F23" s="33">
        <f>estimated_ltv!E6</f>
        <v>1292.76</v>
      </c>
    </row>
    <row r="24" spans="1:6">
      <c r="A24" s="21" t="s">
        <v>71</v>
      </c>
      <c r="B24" s="21" t="s">
        <v>3</v>
      </c>
      <c r="C24" s="21" t="s">
        <v>1</v>
      </c>
      <c r="D24" s="45">
        <f>estimated_ltv!C7</f>
        <v>14</v>
      </c>
      <c r="E24" s="34">
        <f>estimated_ltv!D7</f>
        <v>73.02</v>
      </c>
      <c r="F24" s="34">
        <f>estimated_ltv!E7</f>
        <v>1023.51</v>
      </c>
    </row>
  </sheetData>
  <mergeCells count="1">
    <mergeCell ref="A1:B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87F7-A9F7-544C-BAF4-0B53DDA1F2B6}">
  <dimension ref="A1:D4"/>
  <sheetViews>
    <sheetView workbookViewId="0">
      <selection activeCell="B2" sqref="B2"/>
    </sheetView>
  </sheetViews>
  <sheetFormatPr baseColWidth="10" defaultRowHeight="16"/>
  <cols>
    <col min="1" max="1" width="14.5" bestFit="1" customWidth="1"/>
    <col min="2" max="2" width="17.33203125" bestFit="1" customWidth="1"/>
    <col min="3" max="3" width="10.33203125" bestFit="1" customWidth="1"/>
    <col min="4" max="4" width="16" bestFit="1" customWidth="1"/>
  </cols>
  <sheetData>
    <row r="1" spans="1:4">
      <c r="A1" t="s">
        <v>2</v>
      </c>
      <c r="B1" t="s">
        <v>35</v>
      </c>
      <c r="C1" t="s">
        <v>36</v>
      </c>
      <c r="D1" t="s">
        <v>34</v>
      </c>
    </row>
    <row r="2" spans="1:4">
      <c r="A2" t="s">
        <v>3</v>
      </c>
      <c r="B2" s="2">
        <v>3875</v>
      </c>
      <c r="C2" s="2">
        <v>1655</v>
      </c>
      <c r="D2">
        <v>42.71</v>
      </c>
    </row>
    <row r="3" spans="1:4">
      <c r="A3" t="s">
        <v>4</v>
      </c>
      <c r="B3" s="2">
        <v>1473</v>
      </c>
      <c r="C3" s="2">
        <v>166</v>
      </c>
      <c r="D3">
        <v>11.27</v>
      </c>
    </row>
    <row r="4" spans="1:4">
      <c r="A4" t="s">
        <v>5</v>
      </c>
      <c r="B4" s="2">
        <v>1695</v>
      </c>
      <c r="C4" s="2">
        <v>48</v>
      </c>
      <c r="D4">
        <v>2.83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ED63-0E32-9940-A7F8-C85309E1759A}">
  <dimension ref="A1:D4"/>
  <sheetViews>
    <sheetView workbookViewId="0">
      <selection activeCell="B3" sqref="B3"/>
    </sheetView>
  </sheetViews>
  <sheetFormatPr baseColWidth="10" defaultRowHeight="16"/>
  <cols>
    <col min="1" max="1" width="13.83203125" bestFit="1" customWidth="1"/>
    <col min="2" max="2" width="17.33203125" bestFit="1" customWidth="1"/>
    <col min="3" max="3" width="10.33203125" bestFit="1" customWidth="1"/>
    <col min="4" max="4" width="16" bestFit="1" customWidth="1"/>
  </cols>
  <sheetData>
    <row r="1" spans="1:4">
      <c r="A1" t="s">
        <v>39</v>
      </c>
      <c r="B1" t="s">
        <v>35</v>
      </c>
      <c r="C1" t="s">
        <v>36</v>
      </c>
      <c r="D1" t="s">
        <v>34</v>
      </c>
    </row>
    <row r="2" spans="1:4">
      <c r="A2" t="s">
        <v>12</v>
      </c>
      <c r="B2" s="2">
        <v>2186</v>
      </c>
      <c r="C2" s="2">
        <v>1037</v>
      </c>
      <c r="D2">
        <v>47.44</v>
      </c>
    </row>
    <row r="3" spans="1:4">
      <c r="A3" t="s">
        <v>13</v>
      </c>
      <c r="B3" s="2">
        <v>1856</v>
      </c>
      <c r="C3" s="2">
        <v>474</v>
      </c>
      <c r="D3">
        <v>25.54</v>
      </c>
    </row>
    <row r="4" spans="1:4">
      <c r="A4" t="s">
        <v>14</v>
      </c>
      <c r="B4" s="2">
        <v>3001</v>
      </c>
      <c r="C4" s="2">
        <v>358</v>
      </c>
      <c r="D4">
        <v>11.93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990A-E944-9048-BC6C-5F1723ADEC62}">
  <dimension ref="A1:D4"/>
  <sheetViews>
    <sheetView workbookViewId="0">
      <selection activeCell="B2" sqref="B2"/>
    </sheetView>
  </sheetViews>
  <sheetFormatPr baseColWidth="10" defaultRowHeight="16"/>
  <cols>
    <col min="1" max="1" width="16.1640625" bestFit="1" customWidth="1"/>
    <col min="2" max="2" width="17.33203125" bestFit="1" customWidth="1"/>
    <col min="3" max="3" width="10.33203125" bestFit="1" customWidth="1"/>
    <col min="4" max="4" width="16" bestFit="1" customWidth="1"/>
  </cols>
  <sheetData>
    <row r="1" spans="1:4">
      <c r="A1" t="s">
        <v>40</v>
      </c>
      <c r="B1" t="s">
        <v>35</v>
      </c>
      <c r="C1" t="s">
        <v>36</v>
      </c>
      <c r="D1" t="s">
        <v>34</v>
      </c>
    </row>
    <row r="2" spans="1:4">
      <c r="A2" t="s">
        <v>6</v>
      </c>
      <c r="B2" s="2">
        <v>3096</v>
      </c>
      <c r="C2" s="2">
        <v>1297</v>
      </c>
      <c r="D2" s="3">
        <v>41.89</v>
      </c>
    </row>
    <row r="3" spans="1:4">
      <c r="A3" t="s">
        <v>7</v>
      </c>
      <c r="B3" s="2">
        <v>2421</v>
      </c>
      <c r="C3" s="2">
        <v>459</v>
      </c>
      <c r="D3" s="3">
        <v>18.96</v>
      </c>
    </row>
    <row r="4" spans="1:4">
      <c r="A4" t="s">
        <v>0</v>
      </c>
      <c r="B4" s="2">
        <v>1526</v>
      </c>
      <c r="C4" s="2">
        <v>113</v>
      </c>
      <c r="D4" s="3">
        <v>7.4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2B2F-4D16-B14B-9E6E-034806059C6C}">
  <dimension ref="A1:D5"/>
  <sheetViews>
    <sheetView workbookViewId="0">
      <selection activeCell="A2" sqref="A2"/>
    </sheetView>
  </sheetViews>
  <sheetFormatPr baseColWidth="10" defaultRowHeight="16"/>
  <cols>
    <col min="1" max="1" width="22.1640625" bestFit="1" customWidth="1"/>
    <col min="2" max="2" width="17.33203125" bestFit="1" customWidth="1"/>
    <col min="3" max="3" width="10.33203125" bestFit="1" customWidth="1"/>
    <col min="4" max="4" width="16" bestFit="1" customWidth="1"/>
  </cols>
  <sheetData>
    <row r="1" spans="1:4">
      <c r="A1" t="s">
        <v>41</v>
      </c>
      <c r="B1" t="s">
        <v>35</v>
      </c>
      <c r="C1" t="s">
        <v>36</v>
      </c>
      <c r="D1" t="s">
        <v>34</v>
      </c>
    </row>
    <row r="2" spans="1:4">
      <c r="A2" t="s">
        <v>8</v>
      </c>
      <c r="B2" s="2">
        <v>2365</v>
      </c>
      <c r="C2" s="2">
        <v>1071</v>
      </c>
      <c r="D2">
        <v>45.29</v>
      </c>
    </row>
    <row r="3" spans="1:4">
      <c r="A3" t="s">
        <v>9</v>
      </c>
      <c r="B3" s="2">
        <v>1612</v>
      </c>
      <c r="C3" s="2">
        <v>308</v>
      </c>
      <c r="D3">
        <v>19.11</v>
      </c>
    </row>
    <row r="4" spans="1:4">
      <c r="A4" t="s">
        <v>10</v>
      </c>
      <c r="B4" s="2">
        <v>1544</v>
      </c>
      <c r="C4" s="2">
        <v>258</v>
      </c>
      <c r="D4">
        <v>16.71</v>
      </c>
    </row>
    <row r="5" spans="1:4">
      <c r="A5" t="s">
        <v>11</v>
      </c>
      <c r="B5" s="2">
        <v>1522</v>
      </c>
      <c r="C5" s="2">
        <v>232</v>
      </c>
      <c r="D5">
        <v>15.24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21E6-E920-104B-8A94-E97C9ABA4BC6}">
  <dimension ref="A1:D3"/>
  <sheetViews>
    <sheetView workbookViewId="0">
      <selection activeCell="D2" sqref="D2"/>
    </sheetView>
  </sheetViews>
  <sheetFormatPr baseColWidth="10" defaultRowHeight="16"/>
  <cols>
    <col min="1" max="1" width="11.83203125" bestFit="1" customWidth="1"/>
    <col min="2" max="2" width="20" bestFit="1" customWidth="1"/>
    <col min="3" max="3" width="13" bestFit="1" customWidth="1"/>
    <col min="4" max="4" width="13.33203125" bestFit="1" customWidth="1"/>
  </cols>
  <sheetData>
    <row r="1" spans="1:4">
      <c r="A1" t="s">
        <v>42</v>
      </c>
      <c r="B1" t="s">
        <v>43</v>
      </c>
      <c r="C1" t="s">
        <v>44</v>
      </c>
      <c r="D1" t="s">
        <v>45</v>
      </c>
    </row>
    <row r="2" spans="1:4">
      <c r="A2" t="s">
        <v>0</v>
      </c>
      <c r="B2">
        <v>37.6</v>
      </c>
      <c r="C2">
        <v>0</v>
      </c>
      <c r="D2">
        <v>72</v>
      </c>
    </row>
    <row r="3" spans="1:4">
      <c r="A3" t="s">
        <v>1</v>
      </c>
      <c r="B3">
        <v>18</v>
      </c>
      <c r="C3">
        <v>1</v>
      </c>
      <c r="D3">
        <v>72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FA6E-D9E2-9C4B-85CE-6095C8F3E5A7}">
  <dimension ref="A1:E3"/>
  <sheetViews>
    <sheetView workbookViewId="0">
      <selection activeCell="B3" sqref="B3"/>
    </sheetView>
  </sheetViews>
  <sheetFormatPr baseColWidth="10" defaultRowHeight="16"/>
  <cols>
    <col min="1" max="1" width="11.83203125" bestFit="1" customWidth="1"/>
    <col min="2" max="2" width="20.6640625" bestFit="1" customWidth="1"/>
    <col min="3" max="3" width="13.33203125" bestFit="1" customWidth="1"/>
    <col min="4" max="4" width="13.6640625" bestFit="1" customWidth="1"/>
    <col min="5" max="5" width="17.5" bestFit="1" customWidth="1"/>
  </cols>
  <sheetData>
    <row r="1" spans="1:5">
      <c r="A1" t="s">
        <v>42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0</v>
      </c>
      <c r="B2" s="1">
        <v>61.27</v>
      </c>
      <c r="C2" s="1">
        <v>18.25</v>
      </c>
      <c r="D2" s="1">
        <v>118.75</v>
      </c>
      <c r="E2">
        <v>31.09</v>
      </c>
    </row>
    <row r="3" spans="1:5">
      <c r="A3" t="s">
        <v>1</v>
      </c>
      <c r="B3" s="1">
        <v>74.44</v>
      </c>
      <c r="C3" s="1">
        <v>18.850000000000001</v>
      </c>
      <c r="D3" s="1">
        <v>118.35</v>
      </c>
      <c r="E3">
        <v>24.66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6377-90F9-824B-8470-B83CB1D0AE65}">
  <dimension ref="A1:H14"/>
  <sheetViews>
    <sheetView workbookViewId="0">
      <selection activeCell="L41" sqref="L41"/>
    </sheetView>
  </sheetViews>
  <sheetFormatPr baseColWidth="10" defaultRowHeight="16"/>
  <cols>
    <col min="2" max="2" width="14.83203125" customWidth="1"/>
    <col min="3" max="3" width="22.1640625" bestFit="1" customWidth="1"/>
    <col min="4" max="4" width="17.1640625" customWidth="1"/>
    <col min="5" max="5" width="10.5" customWidth="1"/>
    <col min="6" max="6" width="15.83203125" customWidth="1"/>
    <col min="7" max="7" width="27" customWidth="1"/>
    <col min="8" max="8" width="15.5" bestFit="1" customWidth="1"/>
  </cols>
  <sheetData>
    <row r="1" spans="1:8">
      <c r="A1" s="26" t="s">
        <v>66</v>
      </c>
      <c r="B1" s="26" t="s">
        <v>99</v>
      </c>
      <c r="C1" s="26" t="s">
        <v>100</v>
      </c>
      <c r="D1" s="26" t="s">
        <v>35</v>
      </c>
      <c r="E1" s="26" t="s">
        <v>36</v>
      </c>
      <c r="F1" s="26" t="s">
        <v>34</v>
      </c>
      <c r="G1" s="26" t="s">
        <v>101</v>
      </c>
      <c r="H1" s="26" t="s">
        <v>102</v>
      </c>
    </row>
    <row r="2" spans="1:8" ht="17">
      <c r="A2" t="s">
        <v>70</v>
      </c>
      <c r="B2" t="s">
        <v>2</v>
      </c>
      <c r="C2" t="s">
        <v>3</v>
      </c>
      <c r="D2" s="18">
        <f>churn_by_contract!B2</f>
        <v>3875</v>
      </c>
      <c r="E2" s="19">
        <f>churn_by_contract!C2</f>
        <v>1655</v>
      </c>
      <c r="F2" s="20">
        <f>churn_by_contract!D2</f>
        <v>42.71</v>
      </c>
      <c r="G2" s="1">
        <f>E2*avg_charges_by_churn!$B$3*12</f>
        <v>1478378.4</v>
      </c>
      <c r="H2" t="s">
        <v>95</v>
      </c>
    </row>
    <row r="3" spans="1:8" ht="17">
      <c r="A3" t="s">
        <v>70</v>
      </c>
      <c r="B3" t="s">
        <v>2</v>
      </c>
      <c r="C3" t="s">
        <v>4</v>
      </c>
      <c r="D3" s="18">
        <f>churn_by_contract!B3</f>
        <v>1473</v>
      </c>
      <c r="E3" s="19">
        <f>churn_by_contract!C3</f>
        <v>166</v>
      </c>
      <c r="F3" s="20">
        <f>churn_by_contract!D3</f>
        <v>11.27</v>
      </c>
      <c r="G3" s="1">
        <f>E3*avg_charges_by_churn!$B$3*12</f>
        <v>148284.47999999998</v>
      </c>
      <c r="H3" t="s">
        <v>97</v>
      </c>
    </row>
    <row r="4" spans="1:8" ht="17">
      <c r="A4" t="s">
        <v>70</v>
      </c>
      <c r="B4" t="s">
        <v>2</v>
      </c>
      <c r="C4" t="s">
        <v>5</v>
      </c>
      <c r="D4" s="18">
        <f>churn_by_contract!B4</f>
        <v>1695</v>
      </c>
      <c r="E4" s="19">
        <f>churn_by_contract!C4</f>
        <v>48</v>
      </c>
      <c r="F4" s="20">
        <f>churn_by_contract!D4</f>
        <v>2.83</v>
      </c>
      <c r="G4" s="1">
        <f>E4*avg_charges_by_churn!$B$3*12</f>
        <v>42877.440000000002</v>
      </c>
      <c r="H4" t="s">
        <v>97</v>
      </c>
    </row>
    <row r="5" spans="1:8" ht="17">
      <c r="A5" t="s">
        <v>70</v>
      </c>
      <c r="B5" t="s">
        <v>39</v>
      </c>
      <c r="C5" t="s">
        <v>12</v>
      </c>
      <c r="D5" s="18">
        <f>churn_by_tenure_band!B2</f>
        <v>2186</v>
      </c>
      <c r="E5" s="19">
        <f>churn_by_tenure_band!C2</f>
        <v>1037</v>
      </c>
      <c r="F5" s="20">
        <f>churn_by_tenure_band!D2</f>
        <v>47.44</v>
      </c>
      <c r="G5" s="1">
        <f>E5*avg_charges_by_churn!$B$3*12</f>
        <v>926331.36</v>
      </c>
      <c r="H5" t="s">
        <v>95</v>
      </c>
    </row>
    <row r="6" spans="1:8" ht="17">
      <c r="A6" t="s">
        <v>70</v>
      </c>
      <c r="B6" t="s">
        <v>39</v>
      </c>
      <c r="C6" t="s">
        <v>13</v>
      </c>
      <c r="D6" s="18">
        <f>churn_by_tenure_band!B3</f>
        <v>1856</v>
      </c>
      <c r="E6" s="19">
        <f>churn_by_tenure_band!C3</f>
        <v>474</v>
      </c>
      <c r="F6" s="20">
        <f>churn_by_tenure_band!D3</f>
        <v>25.54</v>
      </c>
      <c r="G6" s="1">
        <f>E6*avg_charges_by_churn!$B$3*12</f>
        <v>423414.72</v>
      </c>
      <c r="H6" t="s">
        <v>96</v>
      </c>
    </row>
    <row r="7" spans="1:8" ht="17">
      <c r="A7" t="s">
        <v>70</v>
      </c>
      <c r="B7" t="s">
        <v>39</v>
      </c>
      <c r="C7" t="s">
        <v>14</v>
      </c>
      <c r="D7" s="18">
        <f>churn_by_tenure_band!B4</f>
        <v>3001</v>
      </c>
      <c r="E7" s="19">
        <f>churn_by_tenure_band!C4</f>
        <v>358</v>
      </c>
      <c r="F7" s="20">
        <f>churn_by_tenure_band!D4</f>
        <v>11.93</v>
      </c>
      <c r="G7" s="1">
        <f>E7*avg_charges_by_churn!$B$3*12</f>
        <v>319794.24</v>
      </c>
      <c r="H7" t="s">
        <v>97</v>
      </c>
    </row>
    <row r="8" spans="1:8" ht="17">
      <c r="A8" t="s">
        <v>70</v>
      </c>
      <c r="B8" t="s">
        <v>40</v>
      </c>
      <c r="C8" t="s">
        <v>6</v>
      </c>
      <c r="D8" s="18">
        <f>churn_by_internet_service!B2</f>
        <v>3096</v>
      </c>
      <c r="E8" s="19">
        <f>churn_by_internet_service!C2</f>
        <v>1297</v>
      </c>
      <c r="F8" s="20">
        <f>churn_by_internet_service!D2</f>
        <v>41.89</v>
      </c>
      <c r="G8" s="1">
        <f>E8*avg_charges_by_churn!$B$3*12</f>
        <v>1158584.1599999999</v>
      </c>
      <c r="H8" t="s">
        <v>95</v>
      </c>
    </row>
    <row r="9" spans="1:8" ht="17">
      <c r="A9" t="s">
        <v>70</v>
      </c>
      <c r="B9" t="s">
        <v>40</v>
      </c>
      <c r="C9" t="s">
        <v>7</v>
      </c>
      <c r="D9" s="18">
        <f>churn_by_internet_service!B3</f>
        <v>2421</v>
      </c>
      <c r="E9" s="19">
        <f>churn_by_internet_service!C3</f>
        <v>459</v>
      </c>
      <c r="F9" s="20">
        <f>churn_by_internet_service!D3</f>
        <v>18.96</v>
      </c>
      <c r="G9" s="1">
        <f>E9*avg_charges_by_churn!$B$3*12</f>
        <v>410015.52</v>
      </c>
      <c r="H9" t="s">
        <v>97</v>
      </c>
    </row>
    <row r="10" spans="1:8" ht="17">
      <c r="A10" t="s">
        <v>70</v>
      </c>
      <c r="B10" t="s">
        <v>40</v>
      </c>
      <c r="C10" t="s">
        <v>103</v>
      </c>
      <c r="D10" s="18">
        <f>churn_by_internet_service!B4</f>
        <v>1526</v>
      </c>
      <c r="E10" s="19">
        <f>churn_by_internet_service!C4</f>
        <v>113</v>
      </c>
      <c r="F10" s="20">
        <f>churn_by_internet_service!D4</f>
        <v>7.4</v>
      </c>
      <c r="G10" s="1">
        <f>E10*avg_charges_by_churn!$B$3*12</f>
        <v>100940.63999999998</v>
      </c>
      <c r="H10" t="s">
        <v>97</v>
      </c>
    </row>
    <row r="11" spans="1:8" ht="17">
      <c r="A11" t="s">
        <v>70</v>
      </c>
      <c r="B11" t="s">
        <v>41</v>
      </c>
      <c r="C11" t="s">
        <v>8</v>
      </c>
      <c r="D11" s="18">
        <f>churn_by_payment_method!B2</f>
        <v>2365</v>
      </c>
      <c r="E11" s="19">
        <f>churn_by_payment_method!C2</f>
        <v>1071</v>
      </c>
      <c r="F11" s="20">
        <f>churn_by_payment_method!D2</f>
        <v>45.29</v>
      </c>
      <c r="G11" s="1">
        <f>E11*avg_charges_by_churn!$B$3*12</f>
        <v>956702.87999999989</v>
      </c>
      <c r="H11" t="s">
        <v>95</v>
      </c>
    </row>
    <row r="12" spans="1:8">
      <c r="A12" t="s">
        <v>70</v>
      </c>
      <c r="B12" t="s">
        <v>41</v>
      </c>
      <c r="C12" t="s">
        <v>9</v>
      </c>
      <c r="D12" s="2">
        <f>churn_by_payment_method!B3</f>
        <v>1612</v>
      </c>
      <c r="E12" s="19">
        <f>churn_by_payment_method!C3</f>
        <v>308</v>
      </c>
      <c r="F12" s="20">
        <f>churn_by_payment_method!D3</f>
        <v>19.11</v>
      </c>
      <c r="G12" s="1">
        <f>E12*avg_charges_by_churn!$B$3*12</f>
        <v>275130.23999999999</v>
      </c>
      <c r="H12" t="s">
        <v>97</v>
      </c>
    </row>
    <row r="13" spans="1:8">
      <c r="A13" t="s">
        <v>70</v>
      </c>
      <c r="B13" t="s">
        <v>41</v>
      </c>
      <c r="C13" t="s">
        <v>10</v>
      </c>
      <c r="D13" s="2">
        <f>churn_by_payment_method!B4</f>
        <v>1544</v>
      </c>
      <c r="E13" s="19">
        <f>churn_by_payment_method!C4</f>
        <v>258</v>
      </c>
      <c r="F13" s="20">
        <f>churn_by_payment_method!D4</f>
        <v>16.71</v>
      </c>
      <c r="G13" s="1">
        <f>E13*avg_charges_by_churn!$B$3*12</f>
        <v>230466.24</v>
      </c>
      <c r="H13" t="s">
        <v>97</v>
      </c>
    </row>
    <row r="14" spans="1:8">
      <c r="A14" t="s">
        <v>70</v>
      </c>
      <c r="B14" t="s">
        <v>41</v>
      </c>
      <c r="C14" t="s">
        <v>11</v>
      </c>
      <c r="D14" s="2">
        <f>churn_by_payment_method!B5</f>
        <v>1522</v>
      </c>
      <c r="E14" s="2">
        <f>churn_by_payment_method!C5</f>
        <v>232</v>
      </c>
      <c r="F14" s="20">
        <f>churn_by_payment_method!D5</f>
        <v>15.24</v>
      </c>
      <c r="G14" s="1">
        <f>E14*avg_charges_by_churn!$B$3*12</f>
        <v>207240.95999999996</v>
      </c>
      <c r="H14" t="s">
        <v>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C068-15D9-C443-942C-FECCD81E238D}">
  <dimension ref="A1:E20"/>
  <sheetViews>
    <sheetView workbookViewId="0">
      <selection activeCell="C11" sqref="C11"/>
    </sheetView>
  </sheetViews>
  <sheetFormatPr baseColWidth="10" defaultRowHeight="16"/>
  <cols>
    <col min="1" max="1" width="32.33203125" bestFit="1" customWidth="1"/>
    <col min="2" max="2" width="34.6640625" bestFit="1" customWidth="1"/>
    <col min="3" max="3" width="15.5" bestFit="1" customWidth="1"/>
    <col min="4" max="4" width="35" bestFit="1" customWidth="1"/>
  </cols>
  <sheetData>
    <row r="1" spans="1:5">
      <c r="A1" s="59" t="s">
        <v>107</v>
      </c>
      <c r="B1" s="59"/>
      <c r="C1" s="59"/>
      <c r="D1" s="59"/>
      <c r="E1" s="59"/>
    </row>
    <row r="2" spans="1:5">
      <c r="A2" s="60" t="s">
        <v>65</v>
      </c>
      <c r="B2" s="60"/>
      <c r="C2" s="60"/>
      <c r="D2" s="60"/>
      <c r="E2" s="60"/>
    </row>
    <row r="4" spans="1:5">
      <c r="A4" s="6" t="s">
        <v>66</v>
      </c>
      <c r="B4" s="6" t="s">
        <v>67</v>
      </c>
      <c r="C4" s="6" t="s">
        <v>68</v>
      </c>
      <c r="D4" s="6" t="s">
        <v>69</v>
      </c>
      <c r="E4" s="15" t="s">
        <v>91</v>
      </c>
    </row>
    <row r="5" spans="1:5">
      <c r="A5" s="7" t="s">
        <v>70</v>
      </c>
      <c r="B5" s="7" t="s">
        <v>73</v>
      </c>
      <c r="C5" s="8">
        <v>0.26540000000000002</v>
      </c>
      <c r="D5" s="7" t="s">
        <v>74</v>
      </c>
      <c r="E5" s="16" t="s">
        <v>93</v>
      </c>
    </row>
    <row r="6" spans="1:5">
      <c r="A6" s="7" t="s">
        <v>70</v>
      </c>
      <c r="B6" s="7" t="s">
        <v>75</v>
      </c>
      <c r="C6" s="8">
        <v>0.42709999999999998</v>
      </c>
      <c r="D6" s="7" t="s">
        <v>76</v>
      </c>
      <c r="E6" s="16" t="s">
        <v>92</v>
      </c>
    </row>
    <row r="7" spans="1:5">
      <c r="A7" s="7" t="s">
        <v>70</v>
      </c>
      <c r="B7" s="7" t="s">
        <v>77</v>
      </c>
      <c r="C7" s="8">
        <v>0.47439999999999999</v>
      </c>
      <c r="D7" s="7" t="s">
        <v>78</v>
      </c>
      <c r="E7" s="16" t="s">
        <v>92</v>
      </c>
    </row>
    <row r="8" spans="1:5">
      <c r="A8" s="7" t="s">
        <v>70</v>
      </c>
      <c r="B8" s="7" t="s">
        <v>79</v>
      </c>
      <c r="C8" s="14">
        <v>18</v>
      </c>
      <c r="D8" s="7" t="s">
        <v>80</v>
      </c>
      <c r="E8" s="16" t="s">
        <v>93</v>
      </c>
    </row>
    <row r="9" spans="1:5">
      <c r="A9" s="9" t="s">
        <v>71</v>
      </c>
      <c r="B9" s="9" t="s">
        <v>81</v>
      </c>
      <c r="C9" s="56">
        <v>139130.85</v>
      </c>
      <c r="D9" s="9" t="s">
        <v>82</v>
      </c>
      <c r="E9" s="16" t="s">
        <v>92</v>
      </c>
    </row>
    <row r="10" spans="1:5">
      <c r="A10" s="9" t="s">
        <v>71</v>
      </c>
      <c r="B10" s="9" t="s">
        <v>83</v>
      </c>
      <c r="C10" s="10">
        <v>0.30499999999999999</v>
      </c>
      <c r="D10" s="9" t="s">
        <v>82</v>
      </c>
      <c r="E10" s="16" t="s">
        <v>92</v>
      </c>
    </row>
    <row r="11" spans="1:5">
      <c r="A11" s="9" t="s">
        <v>71</v>
      </c>
      <c r="B11" s="9" t="s">
        <v>84</v>
      </c>
      <c r="C11" s="57">
        <v>74.44</v>
      </c>
      <c r="D11" s="9" t="s">
        <v>85</v>
      </c>
      <c r="E11" s="16" t="s">
        <v>93</v>
      </c>
    </row>
    <row r="12" spans="1:5">
      <c r="A12" s="11" t="s">
        <v>72</v>
      </c>
      <c r="B12" s="11" t="s">
        <v>86</v>
      </c>
      <c r="C12" s="12">
        <v>0.56410000000000005</v>
      </c>
      <c r="D12" s="11" t="s">
        <v>87</v>
      </c>
      <c r="E12" s="16" t="s">
        <v>92</v>
      </c>
    </row>
    <row r="13" spans="1:5">
      <c r="A13" s="11" t="s">
        <v>72</v>
      </c>
      <c r="B13" s="11" t="s">
        <v>88</v>
      </c>
      <c r="C13" s="12">
        <v>0.62109999999999999</v>
      </c>
      <c r="D13" s="11" t="s">
        <v>98</v>
      </c>
      <c r="E13" s="16" t="s">
        <v>92</v>
      </c>
    </row>
    <row r="14" spans="1:5">
      <c r="A14" s="11" t="s">
        <v>72</v>
      </c>
      <c r="B14" s="11" t="s">
        <v>89</v>
      </c>
      <c r="C14" s="13">
        <v>814</v>
      </c>
      <c r="D14" s="11" t="s">
        <v>90</v>
      </c>
      <c r="E14" s="16" t="s">
        <v>92</v>
      </c>
    </row>
    <row r="16" spans="1:5">
      <c r="A16" s="17" t="s">
        <v>94</v>
      </c>
      <c r="B16" t="s">
        <v>95</v>
      </c>
      <c r="C16" t="s">
        <v>96</v>
      </c>
      <c r="D16" t="s">
        <v>97</v>
      </c>
    </row>
    <row r="17" spans="1:4">
      <c r="A17" s="4"/>
      <c r="B17" s="4"/>
      <c r="C17" s="4"/>
      <c r="D17" s="4"/>
    </row>
    <row r="19" spans="1:4">
      <c r="C19" s="5"/>
    </row>
    <row r="20" spans="1:4">
      <c r="C20" s="5"/>
    </row>
  </sheetData>
  <mergeCells count="2">
    <mergeCell ref="A1:E1"/>
    <mergeCell ref="A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A3A7-18CD-4D47-AB99-2C9E45A2E176}">
  <dimension ref="A1"/>
  <sheetViews>
    <sheetView showGridLines="0" zoomScaleNormal="100" workbookViewId="0">
      <selection activeCell="K44" sqref="K44"/>
    </sheetView>
  </sheetViews>
  <sheetFormatPr baseColWidth="10" defaultColWidth="10.6640625" defaultRowHeight="16"/>
  <sheetData/>
  <pageMargins left="0.7" right="0.7" top="0.75" bottom="0.75" header="0.3" footer="0.3"/>
  <pageSetup paperSize="9" orientation="portrait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1B9A-D974-F64B-AE03-19535B2DEBD9}">
  <dimension ref="A1"/>
  <sheetViews>
    <sheetView showGridLines="0" zoomScale="90" zoomScaleNormal="90" workbookViewId="0">
      <selection activeCell="N44" sqref="N44"/>
    </sheetView>
  </sheetViews>
  <sheetFormatPr baseColWidth="10" defaultColWidth="10.6640625" defaultRowHeight="16"/>
  <sheetData/>
  <pageMargins left="0.7" right="0.7" top="0.75" bottom="0.75" header="0.3" footer="0.3"/>
  <pageSetup paperSize="9" orientation="portrait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77AA-75BA-CE4F-AAD8-A546CFE11CF0}">
  <dimension ref="A1"/>
  <sheetViews>
    <sheetView showGridLines="0" zoomScale="90" zoomScaleNormal="90" workbookViewId="0">
      <selection activeCell="X24" sqref="X24"/>
    </sheetView>
  </sheetViews>
  <sheetFormatPr baseColWidth="10" defaultColWidth="10.6640625" defaultRowHeight="16"/>
  <sheetData/>
  <pageMargins left="0.7" right="0.7" top="0.75" bottom="0.75" header="0.3" footer="0.3"/>
  <pageSetup paperSize="9" orientation="portrait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204F-FFBC-3747-9DF1-C3D416C23F83}">
  <dimension ref="A1"/>
  <sheetViews>
    <sheetView showGridLines="0" tabSelected="1" zoomScale="90" zoomScaleNormal="90" workbookViewId="0">
      <selection activeCell="X22" sqref="X22"/>
    </sheetView>
  </sheetViews>
  <sheetFormatPr baseColWidth="10" defaultColWidth="10.6640625" defaultRowHeight="16"/>
  <sheetData/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98CBB8-FFC2-9D48-BA04-E5F62EA75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perfect_storm_churn</vt:lpstr>
      <vt:lpstr>cohort_lag_analysis</vt:lpstr>
      <vt:lpstr>multi_dimension_churn</vt:lpstr>
      <vt:lpstr>concentration_risk</vt:lpstr>
      <vt:lpstr>internet_service_concentration</vt:lpstr>
      <vt:lpstr>high_risk_customers</vt:lpstr>
      <vt:lpstr>Segment_Risk</vt:lpstr>
      <vt:lpstr>revenue_at_risk</vt:lpstr>
      <vt:lpstr>revenue_by_contract</vt:lpstr>
      <vt:lpstr>revenue_tiers</vt:lpstr>
      <vt:lpstr>cumulative_revenue_by_tenure</vt:lpstr>
      <vt:lpstr>estimated_ltv</vt:lpstr>
      <vt:lpstr>Revenue_Stability</vt:lpstr>
      <vt:lpstr>churn_by_contract</vt:lpstr>
      <vt:lpstr>churn_by_tenure_band</vt:lpstr>
      <vt:lpstr>churn_by_internet_service</vt:lpstr>
      <vt:lpstr>churn_by_payment_method</vt:lpstr>
      <vt:lpstr>avg_tenure_by_churn</vt:lpstr>
      <vt:lpstr>avg_charges_by_churn</vt:lpstr>
      <vt:lpstr>Churn_Analysis</vt:lpstr>
      <vt:lpstr>KPI_Framework</vt:lpstr>
      <vt:lpstr>Dashboard_Risk</vt:lpstr>
      <vt:lpstr>Dashboard_Revenue</vt:lpstr>
      <vt:lpstr>Dashboard_Customer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Taofeek Salami</dc:creator>
  <cp:lastModifiedBy>Taofeek Salami</cp:lastModifiedBy>
  <dcterms:created xsi:type="dcterms:W3CDTF">2026-04-21T13:59:48Z</dcterms:created>
  <dcterms:modified xsi:type="dcterms:W3CDTF">2026-10-29T07:08:09Z</dcterms:modified>
</cp:coreProperties>
</file>